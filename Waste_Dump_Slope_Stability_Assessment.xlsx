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 &amp; Baseline" sheetId="1" state="visible" r:id="rId3"/>
    <sheet name="Sensitivity" sheetId="2" state="visible" r:id="rId4"/>
    <sheet name="Monte Carlo" sheetId="3" state="visible" r:id="rId5"/>
    <sheet name="Risk Optimization" sheetId="4" state="visible" r:id="rId6"/>
    <sheet name="Notes &amp; Methodolog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<sst xmlns="http://schemas.openxmlformats.org/spreadsheetml/2006/main" count="143" uniqueCount="107">
  <si>
    <t xml:space="preserve">Probabilistic Slope Stability Assessment - Mine Waste Rock Dump</t>
  </si>
  <si>
    <t xml:space="preserve">Model: Infinite-slope method with pore-pressure ratio r_u (Bishop &amp; Morgenstern, 1960)</t>
  </si>
  <si>
    <t xml:space="preserve">Baseline Input Parameters</t>
  </si>
  <si>
    <t xml:space="preserve">Parameter</t>
  </si>
  <si>
    <t xml:space="preserve">Value</t>
  </si>
  <si>
    <t xml:space="preserve">Unit</t>
  </si>
  <si>
    <t xml:space="preserve">Notes</t>
  </si>
  <si>
    <t xml:space="preserve">Cohesion, c'</t>
  </si>
  <si>
    <t xml:space="preserve">kPa</t>
  </si>
  <si>
    <t xml:space="preserve">Effective cohesion of dump material</t>
  </si>
  <si>
    <t xml:space="preserve">Friction angle, phi'</t>
  </si>
  <si>
    <t xml:space="preserve">deg</t>
  </si>
  <si>
    <t xml:space="preserve">Effective friction angle of dump material</t>
  </si>
  <si>
    <t xml:space="preserve">Unit weight, gamma</t>
  </si>
  <si>
    <t xml:space="preserve">kN/m^3</t>
  </si>
  <si>
    <t xml:space="preserve">Bulk unit weight of waste rock</t>
  </si>
  <si>
    <t xml:space="preserve">Depth to slip surface, z</t>
  </si>
  <si>
    <t xml:space="preserve">m</t>
  </si>
  <si>
    <t xml:space="preserve">Vertical depth to potential failure plane</t>
  </si>
  <si>
    <t xml:space="preserve">Slope angle, beta</t>
  </si>
  <si>
    <t xml:space="preserve">Overall face angle of the dump</t>
  </si>
  <si>
    <t xml:space="preserve">Pore pressure ratio, r_u</t>
  </si>
  <si>
    <t xml:space="preserve">-</t>
  </si>
  <si>
    <t xml:space="preserve">u / (gamma * z), Bishop &amp; Morgenstern (1960)</t>
  </si>
  <si>
    <t xml:space="preserve">Legend: blue text / yellow fill = editable input cell</t>
  </si>
  <si>
    <t xml:space="preserve">Factor of Safety (baseline, live formula)</t>
  </si>
  <si>
    <t xml:space="preserve">Interpretation:</t>
  </si>
  <si>
    <t xml:space="preserve">Design guidance: typical minimum FS targets are 1.3 (static, long-term) and 1.0-1.1 (pseudo-static/seismic).</t>
  </si>
  <si>
    <t xml:space="preserve">One-at-a-Time (OAT) Sensitivity Analysis</t>
  </si>
  <si>
    <t xml:space="preserve">Each parameter is swept across its realistic range; all others are held at the baseline (Inputs sheet).</t>
  </si>
  <si>
    <t xml:space="preserve">Cohesion, c' (kPa)</t>
  </si>
  <si>
    <t xml:space="preserve">Friction angle, φ' (°)</t>
  </si>
  <si>
    <t xml:space="preserve">Unit weight, γ (kN/m³)</t>
  </si>
  <si>
    <t xml:space="preserve">Depth to slip surface, z (m)</t>
  </si>
  <si>
    <t xml:space="preserve">Slope angle, β (°)</t>
  </si>
  <si>
    <t xml:space="preserve">FS</t>
  </si>
  <si>
    <t xml:space="preserve">Tornado Summary (parameter influence, sorted)</t>
  </si>
  <si>
    <t xml:space="preserve">Low Value</t>
  </si>
  <si>
    <t xml:space="preserve">High Value</t>
  </si>
  <si>
    <t xml:space="preserve">FS at Low</t>
  </si>
  <si>
    <t xml:space="preserve">FS at High</t>
  </si>
  <si>
    <t xml:space="preserve">Baseline FS</t>
  </si>
  <si>
    <t xml:space="preserve">Swing (|ΔFS|)</t>
  </si>
  <si>
    <t xml:space="preserve">Charts</t>
  </si>
  <si>
    <t xml:space="preserve">Monte Carlo Simulation of Factor of Safety</t>
  </si>
  <si>
    <t xml:space="preserve">Input Distribution Assumptions</t>
  </si>
  <si>
    <t xml:space="preserve">Distribution</t>
  </si>
  <si>
    <t xml:space="preserve">Mean</t>
  </si>
  <si>
    <t xml:space="preserve">Std Dev</t>
  </si>
  <si>
    <t xml:space="preserve">Lower Bound</t>
  </si>
  <si>
    <t xml:space="preserve">Upper Bound</t>
  </si>
  <si>
    <t xml:space="preserve">Truncated Normal</t>
  </si>
  <si>
    <t xml:space="preserve">Full-Resolution Simulation Summary (n = 100,000, computed in Python via monte_carlo.py — reproducible with the fixed random seed noted in that script)</t>
  </si>
  <si>
    <t xml:space="preserve">Mean FS</t>
  </si>
  <si>
    <t xml:space="preserve">Std Dev FS</t>
  </si>
  <si>
    <t xml:space="preserve">Min FS</t>
  </si>
  <si>
    <t xml:space="preserve">Max FS</t>
  </si>
  <si>
    <t xml:space="preserve">Probability of Failure, Pf = P(FS&lt;1)</t>
  </si>
  <si>
    <t xml:space="preserve">Reliability Index, beta = (mean(FS)-1)/std(FS)</t>
  </si>
  <si>
    <t xml:space="preserve">Percentiles of FS</t>
  </si>
  <si>
    <t xml:space="preserve">P1</t>
  </si>
  <si>
    <t xml:space="preserve">P5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</si>
  <si>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</si>
  <si>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</si>
  <si>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</si>
  <si>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</si>
  <si>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</si>
  <si>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P95</t>
  </si>
  <si>
    <t xml:space="preserve">P99</t>
  </si>
  <si>
    <t xml:space="preserve">Worksheet-Live Sample (n = 2,000 trials; FS computed by in-cell formula from the sampled inputs — illustrative; full headline results above use n=100,000 computed in Python for stability)</t>
  </si>
  <si>
    <t xml:space="preserve">c' (kPa)</t>
  </si>
  <si>
    <t xml:space="preserve">phi' (deg)</t>
  </si>
  <si>
    <t xml:space="preserve">gamma (kN/m3)</t>
  </si>
  <si>
    <t xml:space="preserve">z (m)</t>
  </si>
  <si>
    <t xml:space="preserve">beta (deg)</t>
  </si>
  <si>
    <t xml:space="preserve">r_u</t>
  </si>
  <si>
    <t xml:space="preserve">FS (formula)</t>
  </si>
  <si>
    <t xml:space="preserve">Sample stats (live, from the 2,000-row table above):</t>
  </si>
  <si>
    <t xml:space="preserve">Probability of Failure (sample)</t>
  </si>
  <si>
    <t xml:space="preserve">Risk-Based Optimization of Dump Slope Angle</t>
  </si>
  <si>
    <t xml:space="preserve">Full Monte Carlo simulation (n = 20,000 per angle) re-run at each candidate slope angle, holding it fixed while all other geotechnical inputs retain their baseline distributions.</t>
  </si>
  <si>
    <t xml:space="preserve">Slope Angle (deg)</t>
  </si>
  <si>
    <t xml:space="preserve">Probability of Failure</t>
  </si>
  <si>
    <t xml:space="preserve">Reliability Index</t>
  </si>
  <si>
    <t xml:space="preserve">Recommended Slope Angles by Risk Target</t>
  </si>
  <si>
    <t xml:space="preserve">Target Pf</t>
  </si>
  <si>
    <t xml:space="preserve">Recommended Slope Angle (deg)</t>
  </si>
  <si>
    <t xml:space="preserve">Achieved Pf</t>
  </si>
  <si>
    <t xml:space="preserve">Notes &amp; Methodology</t>
  </si>
  <si>
    <t xml:space="preserve">1. MODEL</t>
  </si>
  <si>
    <t xml:space="preserve">Infinite-slope method with seepage parallel to the slope face, using the pore-pressure ratio r_u (Bishop &amp; Morgenstern, 1960). This is a standard first-pass screening tool for planar / near-surface failures in engineered waste rock dumps, distinct from deeper rotational failures which would require a circular slip-surface (e.g., Bishop's Simplified) slice analysis.</t>
  </si>
  <si>
    <t xml:space="preserve">FS = [c' + (gamma*z*cos^2(beta) - r_u*gamma*z) * tan(phi')] / [gamma*z*sin(beta)*cos(beta)]</t>
  </si>
  <si>
    <t xml:space="preserve">2. BASELINE CASE</t>
  </si>
  <si>
    <t xml:space="preserve">The baseline case represents a marginally stable design (FS ~ 1.18) so that both the sensitivity study and the Monte Carlo simulation show meaningful movement across the FS = 1 failure threshold in either direction. A more conservative as-built design would target FS &gt;= 1.3 (static).</t>
  </si>
  <si>
    <t xml:space="preserve">3. SENSITIVITY ANALYSIS</t>
  </si>
  <si>
    <t xml:space="preserve">One-at-a-time (OAT) sweeps show slope angle and pore pressure ratio r_u are the dominant controls on FS, followed by friction angle. Cohesion, depth, and unit weight have comparatively minor influence over their realistic ranges for this dump geometry.</t>
  </si>
  <si>
    <t xml:space="preserve">4. MONTE CARLO SIMULATION</t>
  </si>
  <si>
    <t xml:space="preserve">Each input is modeled as an independent, truncated-normal random variable reflecting realistic field/lab variability. 100,000 trials were run to obtain a converged probability of failure (Pf = P(FS&lt;1)) and reliability index (beta). Independence between inputs is a simplifying assumption; in practice, c' and phi' can be correlated (typically negatively) — a refinement noted as a limitation below.</t>
  </si>
  <si>
    <t xml:space="preserve">5. RISK-BASED OPTIMIZATION</t>
  </si>
  <si>
    <t xml:space="preserve">The slope angle sweep re-runs the full Monte Carlo simulation with the slope angle fixed at each candidate value, isolating the one design lever (mine planners control face angle / benching) from the geotechnical uncertainty that cannot be engineered away. This produces a Pf-vs-angle design curve, letting the dump be designed to an explicit risk target (e.g., Pf &lt;= 5%) rather than a single deterministic FS target.</t>
  </si>
  <si>
    <t xml:space="preserve">6. LIMITATIONS</t>
  </si>
  <si>
    <t xml:space="preserve">- Infinite-slope method assumes an infinitely long slope and a failure plane parallel to the face; it does not capture deep rotational or wedge failures, toe buckling, or foundation failure.</t>
  </si>
  <si>
    <t xml:space="preserve">- Inputs are assumed statistically independent; correlation between c' and phi' (commonly negative) would generally reduce the computed Pf and could be added via a correlated sampling scheme.</t>
  </si>
  <si>
    <t xml:space="preserve">- Pore pressure is simplified to a single ratio r_u; a full seepage analysis (e.g., finite element) would better capture a real phreatic surface and seasonal variation.</t>
  </si>
  <si>
    <t xml:space="preserve">- Results are illustrative of method and workflow, not a certified design for an actual site; any real waste dump design must follow applicable regulatory guidance and be reviewed by a qualified geotechnical engineer of record.</t>
  </si>
  <si>
    <t xml:space="preserve">7. FILES</t>
  </si>
  <si>
    <t xml:space="preserve">core.py - deterministic FS model  |  sensitivity.py - OAT sweeps &amp; tornado data  |  monte_carlo.py - probabilistic simulation  |  optimization.py - slope-angle risk optimization  |  make_plots.py - all figures  |  build_excel.py - this workbook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</si>
</sst>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%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2"/>
      <color rgb="FF1F4E78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42</xdr:row>
      <xdr:rowOff>181440</xdr:rowOff>
    </xdr:from>
    <xdr:to>
      <xdr:col>10</xdr:col>
      <xdr:colOff>96840</xdr:colOff>
      <xdr:row>63</xdr:row>
      <xdr:rowOff>181440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8381880"/>
          <a:ext cx="7429320" cy="4000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</xdr:row>
      <xdr:rowOff>181440</xdr:rowOff>
    </xdr:from>
    <xdr:to>
      <xdr:col>9</xdr:col>
      <xdr:colOff>371160</xdr:colOff>
      <xdr:row>86</xdr:row>
      <xdr:rowOff>86040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12573000"/>
          <a:ext cx="6857640" cy="409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160560</xdr:rowOff>
    </xdr:from>
    <xdr:to>
      <xdr:col>18</xdr:col>
      <xdr:colOff>361800</xdr:colOff>
      <xdr:row>21</xdr:row>
      <xdr:rowOff>181440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7941960" y="380880"/>
          <a:ext cx="6476760" cy="4000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22</xdr:row>
      <xdr:rowOff>181440</xdr:rowOff>
    </xdr:from>
    <xdr:to>
      <xdr:col>18</xdr:col>
      <xdr:colOff>361800</xdr:colOff>
      <xdr:row>39</xdr:row>
      <xdr:rowOff>11880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7941960" y="4572000"/>
          <a:ext cx="6476760" cy="323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11520</xdr:rowOff>
    </xdr:from>
    <xdr:to>
      <xdr:col>6</xdr:col>
      <xdr:colOff>424440</xdr:colOff>
      <xdr:row>51</xdr:row>
      <xdr:rowOff>11160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5905440"/>
          <a:ext cx="7238520" cy="4190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15</v>
      </c>
      <c r="C6" s="5" t="s">
        <v>8</v>
      </c>
      <c r="D6" s="5" t="s">
        <v>9</v>
      </c>
    </row>
    <row r="7" customFormat="false" ht="15" hidden="false" customHeight="false" outlineLevel="0" collapsed="false">
      <c r="A7" s="5" t="s">
        <v>10</v>
      </c>
      <c r="B7" s="6" t="n">
        <v>35</v>
      </c>
      <c r="C7" s="5" t="s">
        <v>11</v>
      </c>
      <c r="D7" s="5" t="s">
        <v>12</v>
      </c>
    </row>
    <row r="8" customFormat="false" ht="15" hidden="false" customHeight="false" outlineLevel="0" collapsed="false">
      <c r="A8" s="5" t="s">
        <v>13</v>
      </c>
      <c r="B8" s="6" t="n">
        <v>20</v>
      </c>
      <c r="C8" s="5" t="s">
        <v>14</v>
      </c>
      <c r="D8" s="5" t="s">
        <v>15</v>
      </c>
    </row>
    <row r="9" customFormat="false" ht="15" hidden="false" customHeight="false" outlineLevel="0" collapsed="false">
      <c r="A9" s="5" t="s">
        <v>16</v>
      </c>
      <c r="B9" s="6" t="n">
        <v>15</v>
      </c>
      <c r="C9" s="5" t="s">
        <v>17</v>
      </c>
      <c r="D9" s="5" t="s">
        <v>18</v>
      </c>
    </row>
    <row r="10" customFormat="false" ht="15" hidden="false" customHeight="false" outlineLevel="0" collapsed="false">
      <c r="A10" s="5" t="s">
        <v>19</v>
      </c>
      <c r="B10" s="6" t="n">
        <v>28</v>
      </c>
      <c r="C10" s="5" t="s">
        <v>11</v>
      </c>
      <c r="D10" s="5" t="s">
        <v>20</v>
      </c>
    </row>
    <row r="11" customFormat="false" ht="15" hidden="false" customHeight="false" outlineLevel="0" collapsed="false">
      <c r="A11" s="5" t="s">
        <v>21</v>
      </c>
      <c r="B11" s="6" t="n">
        <v>0.15</v>
      </c>
      <c r="C11" s="5" t="s">
        <v>22</v>
      </c>
      <c r="D11" s="5" t="s">
        <v>23</v>
      </c>
    </row>
    <row r="13" customFormat="false" ht="15" hidden="false" customHeight="false" outlineLevel="0" collapsed="false">
      <c r="A13" s="7" t="s">
        <v>24</v>
      </c>
    </row>
    <row r="14" customFormat="false" ht="15" hidden="false" customHeight="false" outlineLevel="0" collapsed="false">
      <c r="A14" s="3" t="s">
        <v>25</v>
      </c>
      <c r="B14" s="8" t="n">
        <f aca="false">(B6+(B8*B9*COS(RADIANS(B10))^2-B11*B8*B9)*TAN(RADIANS(B7)))/(B8*B9*SIN(RADIANS(B10))*COS(RADIANS(B10)))</f>
        <v>1.18413977311651</v>
      </c>
    </row>
    <row r="15" customFormat="false" ht="15" hidden="false" customHeight="false" outlineLevel="0" collapsed="false">
      <c r="A15" s="7" t="s">
        <v>26</v>
      </c>
      <c r="B15" s="7" t="str">
        <f aca="false">IF(B14&lt;1,"UNSTABLE","STABLE")</f>
        <v>STABLE</v>
      </c>
    </row>
    <row r="17" customFormat="false" ht="15" hidden="false" customHeight="false" outlineLevel="0" collapsed="false">
      <c r="A17" s="9" t="s">
        <v>27</v>
      </c>
      <c r="B17" s="9"/>
      <c r="C17" s="9"/>
      <c r="D17" s="9"/>
      <c r="E17" s="9"/>
      <c r="F17" s="9"/>
    </row>
  </sheetData>
  <mergeCells count="3">
    <mergeCell ref="A1:D1"/>
    <mergeCell ref="A2:D2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6" min="16" style="0" width="12"/>
    <col collapsed="false" customWidth="true" hidden="false" outlineLevel="0" max="17" min="17" style="0" width="10"/>
  </cols>
  <sheetData>
    <row r="1" customFormat="false" ht="17.35" hidden="false" customHeight="false" outlineLevel="0" collapsed="false">
      <c r="A1" s="10" t="s">
        <v>28</v>
      </c>
    </row>
    <row r="2" customFormat="false" ht="15" hidden="false" customHeight="false" outlineLevel="0" collapsed="false">
      <c r="A2" s="11" t="s">
        <v>29</v>
      </c>
    </row>
    <row r="3" customFormat="false" ht="15" hidden="false" customHeight="false" outlineLevel="0" collapsed="false">
      <c r="A3" s="3" t="s">
        <v>30</v>
      </c>
      <c r="D3" s="3" t="s">
        <v>31</v>
      </c>
      <c r="G3" s="3" t="s">
        <v>32</v>
      </c>
      <c r="J3" s="3" t="s">
        <v>33</v>
      </c>
      <c r="M3" s="3" t="s">
        <v>34</v>
      </c>
      <c r="P3" s="3" t="s">
        <v>21</v>
      </c>
    </row>
    <row r="4" customFormat="false" ht="15" hidden="false" customHeight="false" outlineLevel="0" collapsed="false">
      <c r="A4" s="4" t="s">
        <v>4</v>
      </c>
      <c r="B4" s="4" t="s">
        <v>35</v>
      </c>
      <c r="D4" s="4" t="s">
        <v>4</v>
      </c>
      <c r="E4" s="4" t="s">
        <v>35</v>
      </c>
      <c r="G4" s="4" t="s">
        <v>4</v>
      </c>
      <c r="H4" s="4" t="s">
        <v>35</v>
      </c>
      <c r="J4" s="4" t="s">
        <v>4</v>
      </c>
      <c r="K4" s="4" t="s">
        <v>35</v>
      </c>
      <c r="M4" s="4" t="s">
        <v>4</v>
      </c>
      <c r="N4" s="4" t="s">
        <v>35</v>
      </c>
      <c r="P4" s="4" t="s">
        <v>4</v>
      </c>
      <c r="Q4" s="4" t="s">
        <v>35</v>
      </c>
    </row>
    <row r="5" customFormat="false" ht="15" hidden="false" customHeight="false" outlineLevel="0" collapsed="false">
      <c r="A5" s="0" t="n">
        <v>5</v>
      </c>
      <c r="B5" s="12" t="n">
        <f aca="false">(A5+('Inputs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1.10372524321625</v>
      </c>
      <c r="D5" s="0" t="n">
        <v>28</v>
      </c>
      <c r="E5" s="12" t="n">
        <f aca="false">('Inputs &amp; Baseline'!$B$6+('Inputs &amp; Baseline'!$B$8*'Inputs &amp; Baseline'!$B$9*COS(RADIANS('Inputs &amp; Baseline'!$B$10))^2-'Inputs &amp; Baseline'!$B$11*'Inputs &amp; Baseline'!$B$8*'Inputs &amp; Baseline'!$B$9)*TAN(RADIANS(D5)))/('Inputs &amp; Baseline'!$B$8*'Inputs &amp; Baseline'!$B$9*SIN(RADIANS('Inputs &amp; Baseline'!$B$10))*COS(RADIANS('Inputs &amp; Baseline'!$B$10)))</f>
        <v>0.928214556892725</v>
      </c>
      <c r="G5" s="0" t="n">
        <v>18</v>
      </c>
      <c r="H5" s="12" t="n">
        <f aca="false">('Inputs &amp; Baseline'!$B$6+(G5*'Inputs &amp; Baseline'!$B$9*COS(RADIANS('Inputs &amp; Baseline'!$B$10))^2-'Inputs &amp; Baseline'!$B$11*G5*'Inputs &amp; Baseline'!$B$9)*TAN(RADIANS('Inputs &amp; Baseline'!$B$7)))/(G5*'Inputs &amp; Baseline'!$B$9*SIN(RADIANS('Inputs &amp; Baseline'!$B$10))*COS(RADIANS('Inputs &amp; Baseline'!$B$10)))</f>
        <v>1.19754219476655</v>
      </c>
      <c r="J5" s="0" t="n">
        <v>8</v>
      </c>
      <c r="K5" s="12" t="n">
        <f aca="false">('Inputs &amp; Baseline'!$B$6+('Inputs &amp; Baseline'!$B$8*J5*COS(RADIANS('Inputs &amp; Baseline'!$B$10))^2-'Inputs &amp; Baseline'!$B$11*'Inputs &amp; Baseline'!$B$8*J5)*TAN(RADIANS('Inputs &amp; Baseline'!$B$7)))/('Inputs &amp; Baseline'!$B$8*J5*SIN(RADIANS('Inputs &amp; Baseline'!$B$10))*COS(RADIANS('Inputs &amp; Baseline'!$B$10)))</f>
        <v>1.2896838436106</v>
      </c>
      <c r="M5" s="0" t="n">
        <v>22</v>
      </c>
      <c r="N5" s="12" t="n">
        <f aca="false">('Inputs &amp; Baseline'!$B$6+('Inputs &amp; Baseline'!$B$8*'Inputs &amp; Baseline'!$B$9*COS(RADIANS(M5))^2-'Inputs &amp; Baseline'!$B$11*'Inputs &amp; Baseline'!$B$8*'Inputs &amp; Baseline'!$B$9)*TAN(RADIANS('Inputs &amp; Baseline'!$B$7)))/('Inputs &amp; Baseline'!$B$8*'Inputs &amp; Baseline'!$B$9*SIN(RADIANS(M5))*COS(RADIANS(M5)))</f>
        <v>1.57463362423091</v>
      </c>
      <c r="P5" s="0" t="n">
        <v>0</v>
      </c>
      <c r="Q5" s="12" t="n">
        <f aca="false">('Inputs &amp; Baseline'!$B$6+('Inputs &amp; Baseline'!$B$8*'Inputs &amp; Baseline'!$B$9*COS(RADIANS('Inputs &amp; Baseline'!$B$10))^2-P5*'Inputs &amp; Baseline'!$B$8*'Inputs &amp; Baseline'!$B$9)*TAN(RADIANS('Inputs &amp; Baseline'!$B$7)))/('Inputs &amp; Baseline'!$B$8*'Inputs &amp; Baseline'!$B$9*SIN(RADIANS('Inputs &amp; Baseline'!$B$10))*COS(RADIANS('Inputs &amp; Baseline'!$B$10)))</f>
        <v>1.43752064319639</v>
      </c>
    </row>
    <row r="6" customFormat="false" ht="15" hidden="false" customHeight="false" outlineLevel="0" collapsed="false">
      <c r="A6" s="0" t="n">
        <v>5.8333</v>
      </c>
      <c r="B6" s="12" t="n">
        <f aca="false">(A6+('Inputs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1.11042618599284</v>
      </c>
      <c r="D6" s="0" t="n">
        <v>28.5</v>
      </c>
      <c r="E6" s="12" t="n">
        <f aca="false">('Inputs &amp; Baseline'!$B$6+('Inputs &amp; Baseline'!$B$8*'Inputs &amp; Baseline'!$B$9*COS(RADIANS('Inputs &amp; Baseline'!$B$10))^2-'Inputs &amp; Baseline'!$B$11*'Inputs &amp; Baseline'!$B$8*'Inputs &amp; Baseline'!$B$9)*TAN(RADIANS(D6)))/('Inputs &amp; Baseline'!$B$8*'Inputs &amp; Baseline'!$B$9*SIN(RADIANS('Inputs &amp; Baseline'!$B$10))*COS(RADIANS('Inputs &amp; Baseline'!$B$10)))</f>
        <v>0.945296075627119</v>
      </c>
      <c r="G6" s="0" t="n">
        <v>18.1667</v>
      </c>
      <c r="H6" s="12" t="n">
        <f aca="false">('Inputs &amp; Baseline'!$B$6+(G6*'Inputs &amp; Baseline'!$B$9*COS(RADIANS('Inputs &amp; Baseline'!$B$10))^2-'Inputs &amp; Baseline'!$B$11*G6*'Inputs &amp; Baseline'!$B$9)*TAN(RADIANS('Inputs &amp; Baseline'!$B$7)))/(G6*'Inputs &amp; Baseline'!$B$9*SIN(RADIANS('Inputs &amp; Baseline'!$B$10))*COS(RADIANS('Inputs &amp; Baseline'!$B$10)))</f>
        <v>1.19631237113922</v>
      </c>
      <c r="J6" s="0" t="n">
        <v>8.7083</v>
      </c>
      <c r="K6" s="12" t="n">
        <f aca="false">('Inputs &amp; Baseline'!$B$6+('Inputs &amp; Baseline'!$B$8*J6*COS(RADIANS('Inputs &amp; Baseline'!$B$10))^2-'Inputs &amp; Baseline'!$B$11*'Inputs &amp; Baseline'!$B$8*J6)*TAN(RADIANS('Inputs &amp; Baseline'!$B$7)))/('Inputs &amp; Baseline'!$B$8*J6*SIN(RADIANS('Inputs &amp; Baseline'!$B$10))*COS(RADIANS('Inputs &amp; Baseline'!$B$10)))</f>
        <v>1.27128837234485</v>
      </c>
      <c r="M6" s="0" t="n">
        <v>22.5</v>
      </c>
      <c r="N6" s="12" t="n">
        <f aca="false">('Inputs &amp; Baseline'!$B$6+('Inputs &amp; Baseline'!$B$8*'Inputs &amp; Baseline'!$B$9*COS(RADIANS(M6))^2-'Inputs &amp; Baseline'!$B$11*'Inputs &amp; Baseline'!$B$8*'Inputs &amp; Baseline'!$B$9)*TAN(RADIANS('Inputs &amp; Baseline'!$B$7)))/('Inputs &amp; Baseline'!$B$8*'Inputs &amp; Baseline'!$B$9*SIN(RADIANS(M6))*COS(RADIANS(M6)))</f>
        <v>1.53479899235545</v>
      </c>
      <c r="P6" s="0" t="n">
        <v>0.0146</v>
      </c>
      <c r="Q6" s="12" t="n">
        <f aca="false">('Inputs &amp; Baseline'!$B$6+('Inputs &amp; Baseline'!$B$8*'Inputs &amp; Baseline'!$B$9*COS(RADIANS('Inputs &amp; Baseline'!$B$10))^2-P6*'Inputs &amp; Baseline'!$B$8*'Inputs &amp; Baseline'!$B$9)*TAN(RADIANS('Inputs &amp; Baseline'!$B$7)))/('Inputs &amp; Baseline'!$B$8*'Inputs &amp; Baseline'!$B$9*SIN(RADIANS('Inputs &amp; Baseline'!$B$10))*COS(RADIANS('Inputs &amp; Baseline'!$B$10)))</f>
        <v>1.41285823850862</v>
      </c>
    </row>
    <row r="7" customFormat="false" ht="15" hidden="false" customHeight="false" outlineLevel="0" collapsed="false">
      <c r="A7" s="0" t="n">
        <v>6.6667</v>
      </c>
      <c r="B7" s="12" t="n">
        <f aca="false">(A7+('Inputs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1.11712793291472</v>
      </c>
      <c r="D7" s="0" t="n">
        <v>29</v>
      </c>
      <c r="E7" s="12" t="n">
        <f aca="false">('Inputs &amp; Baseline'!$B$6+('Inputs &amp; Baseline'!$B$8*'Inputs &amp; Baseline'!$B$9*COS(RADIANS('Inputs &amp; Baseline'!$B$10))^2-'Inputs &amp; Baseline'!$B$11*'Inputs &amp; Baseline'!$B$8*'Inputs &amp; Baseline'!$B$9)*TAN(RADIANS(D7)))/('Inputs &amp; Baseline'!$B$8*'Inputs &amp; Baseline'!$B$9*SIN(RADIANS('Inputs &amp; Baseline'!$B$10))*COS(RADIANS('Inputs &amp; Baseline'!$B$10)))</f>
        <v>0.962540239834483</v>
      </c>
      <c r="G7" s="0" t="n">
        <v>18.3333</v>
      </c>
      <c r="H7" s="12" t="n">
        <f aca="false">('Inputs &amp; Baseline'!$B$6+(G7*'Inputs &amp; Baseline'!$B$9*COS(RADIANS('Inputs &amp; Baseline'!$B$10))^2-'Inputs &amp; Baseline'!$B$11*G7*'Inputs &amp; Baseline'!$B$9)*TAN(RADIANS('Inputs &amp; Baseline'!$B$7)))/(G7*'Inputs &amp; Baseline'!$B$9*SIN(RADIANS('Inputs &amp; Baseline'!$B$10))*COS(RADIANS('Inputs &amp; Baseline'!$B$10)))</f>
        <v>1.19510563008046</v>
      </c>
      <c r="J7" s="0" t="n">
        <v>9.4167</v>
      </c>
      <c r="K7" s="12" t="n">
        <f aca="false">('Inputs &amp; Baseline'!$B$6+('Inputs &amp; Baseline'!$B$8*J7*COS(RADIANS('Inputs &amp; Baseline'!$B$10))^2-'Inputs &amp; Baseline'!$B$11*'Inputs &amp; Baseline'!$B$8*J7)*TAN(RADIANS('Inputs &amp; Baseline'!$B$7)))/('Inputs &amp; Baseline'!$B$8*J7*SIN(RADIANS('Inputs &amp; Baseline'!$B$10))*COS(RADIANS('Inputs &amp; Baseline'!$B$10)))</f>
        <v>1.25565821027477</v>
      </c>
      <c r="M7" s="0" t="n">
        <v>23</v>
      </c>
      <c r="N7" s="12" t="n">
        <f aca="false">('Inputs &amp; Baseline'!$B$6+('Inputs &amp; Baseline'!$B$8*'Inputs &amp; Baseline'!$B$9*COS(RADIANS(M7))^2-'Inputs &amp; Baseline'!$B$11*'Inputs &amp; Baseline'!$B$8*'Inputs &amp; Baseline'!$B$9)*TAN(RADIANS('Inputs &amp; Baseline'!$B$7)))/('Inputs &amp; Baseline'!$B$8*'Inputs &amp; Baseline'!$B$9*SIN(RADIANS(M7))*COS(RADIANS(M7)))</f>
        <v>1.49658103682827</v>
      </c>
      <c r="P7" s="0" t="n">
        <v>0.0292</v>
      </c>
      <c r="Q7" s="12" t="n">
        <f aca="false">('Inputs &amp; Baseline'!$B$6+('Inputs &amp; Baseline'!$B$8*'Inputs &amp; Baseline'!$B$9*COS(RADIANS('Inputs &amp; Baseline'!$B$10))^2-P7*'Inputs &amp; Baseline'!$B$8*'Inputs &amp; Baseline'!$B$9)*TAN(RADIANS('Inputs &amp; Baseline'!$B$7)))/('Inputs &amp; Baseline'!$B$8*'Inputs &amp; Baseline'!$B$9*SIN(RADIANS('Inputs &amp; Baseline'!$B$10))*COS(RADIANS('Inputs &amp; Baseline'!$B$10)))</f>
        <v>1.38819583382084</v>
      </c>
    </row>
    <row r="8" customFormat="false" ht="15" hidden="false" customHeight="false" outlineLevel="0" collapsed="false">
      <c r="A8" s="0" t="n">
        <v>7.5</v>
      </c>
      <c r="B8" s="12" t="n">
        <f aca="false">(A8+('Inputs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1.12382887569131</v>
      </c>
      <c r="D8" s="0" t="n">
        <v>29.5</v>
      </c>
      <c r="E8" s="12" t="n">
        <f aca="false">('Inputs &amp; Baseline'!$B$6+('Inputs &amp; Baseline'!$B$8*'Inputs &amp; Baseline'!$B$9*COS(RADIANS('Inputs &amp; Baseline'!$B$10))^2-'Inputs &amp; Baseline'!$B$11*'Inputs &amp; Baseline'!$B$8*'Inputs &amp; Baseline'!$B$9)*TAN(RADIANS(D8)))/('Inputs &amp; Baseline'!$B$8*'Inputs &amp; Baseline'!$B$9*SIN(RADIANS('Inputs &amp; Baseline'!$B$10))*COS(RADIANS('Inputs &amp; Baseline'!$B$10)))</f>
        <v>0.979952048213147</v>
      </c>
      <c r="G8" s="0" t="n">
        <v>18.5</v>
      </c>
      <c r="H8" s="12" t="n">
        <f aca="false">('Inputs &amp; Baseline'!$B$6+(G8*'Inputs &amp; Baseline'!$B$9*COS(RADIANS('Inputs &amp; Baseline'!$B$10))^2-'Inputs &amp; Baseline'!$B$11*G8*'Inputs &amp; Baseline'!$B$9)*TAN(RADIANS('Inputs &amp; Baseline'!$B$7)))/(G8*'Inputs &amp; Baseline'!$B$9*SIN(RADIANS('Inputs &amp; Baseline'!$B$10))*COS(RADIANS('Inputs &amp; Baseline'!$B$10)))</f>
        <v>1.19391991864492</v>
      </c>
      <c r="J8" s="0" t="n">
        <v>10.125</v>
      </c>
      <c r="K8" s="12" t="n">
        <f aca="false">('Inputs &amp; Baseline'!$B$6+('Inputs &amp; Baseline'!$B$8*J8*COS(RADIANS('Inputs &amp; Baseline'!$B$10))^2-'Inputs &amp; Baseline'!$B$11*'Inputs &amp; Baseline'!$B$8*J8)*TAN(RADIANS('Inputs &amp; Baseline'!$B$7)))/('Inputs &amp; Baseline'!$B$8*J8*SIN(RADIANS('Inputs &amp; Baseline'!$B$10))*COS(RADIANS('Inputs &amp; Baseline'!$B$10)))</f>
        <v>1.24221693360003</v>
      </c>
      <c r="M8" s="0" t="n">
        <v>23.5</v>
      </c>
      <c r="N8" s="12" t="n">
        <f aca="false">('Inputs &amp; Baseline'!$B$6+('Inputs &amp; Baseline'!$B$8*'Inputs &amp; Baseline'!$B$9*COS(RADIANS(M8))^2-'Inputs &amp; Baseline'!$B$11*'Inputs &amp; Baseline'!$B$8*'Inputs &amp; Baseline'!$B$9)*TAN(RADIANS('Inputs &amp; Baseline'!$B$7)))/('Inputs &amp; Baseline'!$B$8*'Inputs &amp; Baseline'!$B$9*SIN(RADIANS(M8))*COS(RADIANS(M8)))</f>
        <v>1.45987593574139</v>
      </c>
      <c r="P8" s="0" t="n">
        <v>0.0437</v>
      </c>
      <c r="Q8" s="12" t="n">
        <f aca="false">('Inputs &amp; Baseline'!$B$6+('Inputs &amp; Baseline'!$B$8*'Inputs &amp; Baseline'!$B$9*COS(RADIANS('Inputs &amp; Baseline'!$B$10))^2-P8*'Inputs &amp; Baseline'!$B$8*'Inputs &amp; Baseline'!$B$9)*TAN(RADIANS('Inputs &amp; Baseline'!$B$7)))/('Inputs &amp; Baseline'!$B$8*'Inputs &amp; Baseline'!$B$9*SIN(RADIANS('Inputs &amp; Baseline'!$B$10))*COS(RADIANS('Inputs &amp; Baseline'!$B$10)))</f>
        <v>1.36370234971312</v>
      </c>
    </row>
    <row r="9" customFormat="false" ht="15" hidden="false" customHeight="false" outlineLevel="0" collapsed="false">
      <c r="A9" s="0" t="n">
        <v>8.3333</v>
      </c>
      <c r="B9" s="12" t="n">
        <f aca="false">(A9+('Inputs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1.1305298184679</v>
      </c>
      <c r="D9" s="0" t="n">
        <v>30</v>
      </c>
      <c r="E9" s="12" t="n">
        <f aca="false">('Inputs &amp; Baseline'!$B$6+('Inputs &amp; Baseline'!$B$8*'Inputs &amp; Baseline'!$B$9*COS(RADIANS('Inputs &amp; Baseline'!$B$10))^2-'Inputs &amp; Baseline'!$B$11*'Inputs &amp; Baseline'!$B$8*'Inputs &amp; Baseline'!$B$9)*TAN(RADIANS(D9)))/('Inputs &amp; Baseline'!$B$8*'Inputs &amp; Baseline'!$B$9*SIN(RADIANS('Inputs &amp; Baseline'!$B$10))*COS(RADIANS('Inputs &amp; Baseline'!$B$10)))</f>
        <v>0.997536648709122</v>
      </c>
      <c r="G9" s="0" t="n">
        <v>18.6667</v>
      </c>
      <c r="H9" s="12" t="n">
        <f aca="false">('Inputs &amp; Baseline'!$B$6+(G9*'Inputs &amp; Baseline'!$B$9*COS(RADIANS('Inputs &amp; Baseline'!$B$10))^2-'Inputs &amp; Baseline'!$B$11*G9*'Inputs &amp; Baseline'!$B$9)*TAN(RADIANS('Inputs &amp; Baseline'!$B$7)))/(G9*'Inputs &amp; Baseline'!$B$9*SIN(RADIANS('Inputs &amp; Baseline'!$B$10))*COS(RADIANS('Inputs &amp; Baseline'!$B$10)))</f>
        <v>1.19275538482474</v>
      </c>
      <c r="J9" s="0" t="n">
        <v>10.8333</v>
      </c>
      <c r="K9" s="12" t="n">
        <f aca="false">('Inputs &amp; Baseline'!$B$6+('Inputs &amp; Baseline'!$B$8*J9*COS(RADIANS('Inputs &amp; Baseline'!$B$10))^2-'Inputs &amp; Baseline'!$B$11*'Inputs &amp; Baseline'!$B$8*J9)*TAN(RADIANS('Inputs &amp; Baseline'!$B$7)))/('Inputs &amp; Baseline'!$B$8*J9*SIN(RADIANS('Inputs &amp; Baseline'!$B$10))*COS(RADIANS('Inputs &amp; Baseline'!$B$10)))</f>
        <v>1.23053328502914</v>
      </c>
      <c r="M9" s="0" t="n">
        <v>24</v>
      </c>
      <c r="N9" s="12" t="n">
        <f aca="false">('Inputs &amp; Baseline'!$B$6+('Inputs &amp; Baseline'!$B$8*'Inputs &amp; Baseline'!$B$9*COS(RADIANS(M9))^2-'Inputs &amp; Baseline'!$B$11*'Inputs &amp; Baseline'!$B$8*'Inputs &amp; Baseline'!$B$9)*TAN(RADIANS('Inputs &amp; Baseline'!$B$7)))/('Inputs &amp; Baseline'!$B$8*'Inputs &amp; Baseline'!$B$9*SIN(RADIANS(M9))*COS(RADIANS(M9)))</f>
        <v>1.42458849886496</v>
      </c>
      <c r="P9" s="0" t="n">
        <v>0.0583</v>
      </c>
      <c r="Q9" s="12" t="n">
        <f aca="false">('Inputs &amp; Baseline'!$B$6+('Inputs &amp; Baseline'!$B$8*'Inputs &amp; Baseline'!$B$9*COS(RADIANS('Inputs &amp; Baseline'!$B$10))^2-P9*'Inputs &amp; Baseline'!$B$8*'Inputs &amp; Baseline'!$B$9)*TAN(RADIANS('Inputs &amp; Baseline'!$B$7)))/('Inputs &amp; Baseline'!$B$8*'Inputs &amp; Baseline'!$B$9*SIN(RADIANS('Inputs &amp; Baseline'!$B$10))*COS(RADIANS('Inputs &amp; Baseline'!$B$10)))</f>
        <v>1.33903994502535</v>
      </c>
    </row>
    <row r="10" customFormat="false" ht="15" hidden="false" customHeight="false" outlineLevel="0" collapsed="false">
      <c r="A10" s="0" t="n">
        <v>9.1667</v>
      </c>
      <c r="B10" s="12" t="n">
        <f aca="false">(A10+('Inputs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1.13723156538979</v>
      </c>
      <c r="D10" s="0" t="n">
        <v>30.5</v>
      </c>
      <c r="E10" s="12" t="n">
        <f aca="false">('Inputs &amp; Baseline'!$B$6+('Inputs &amp; Baseline'!$B$8*'Inputs &amp; Baseline'!$B$9*COS(RADIANS('Inputs &amp; Baseline'!$B$10))^2-'Inputs &amp; Baseline'!$B$11*'Inputs &amp; Baseline'!$B$8*'Inputs &amp; Baseline'!$B$9)*TAN(RADIANS(D10)))/('Inputs &amp; Baseline'!$B$8*'Inputs &amp; Baseline'!$B$9*SIN(RADIANS('Inputs &amp; Baseline'!$B$10))*COS(RADIANS('Inputs &amp; Baseline'!$B$10)))</f>
        <v>1.01529934512791</v>
      </c>
      <c r="G10" s="0" t="n">
        <v>18.8333</v>
      </c>
      <c r="H10" s="12" t="n">
        <f aca="false">('Inputs &amp; Baseline'!$B$6+(G10*'Inputs &amp; Baseline'!$B$9*COS(RADIANS('Inputs &amp; Baseline'!$B$10))^2-'Inputs &amp; Baseline'!$B$11*G10*'Inputs &amp; Baseline'!$B$9)*TAN(RADIANS('Inputs &amp; Baseline'!$B$7)))/(G10*'Inputs &amp; Baseline'!$B$9*SIN(RADIANS('Inputs &amp; Baseline'!$B$10))*COS(RADIANS('Inputs &amp; Baseline'!$B$10)))</f>
        <v>1.1916121464155</v>
      </c>
      <c r="J10" s="0" t="n">
        <v>11.5417</v>
      </c>
      <c r="K10" s="12" t="n">
        <f aca="false">('Inputs &amp; Baseline'!$B$6+('Inputs &amp; Baseline'!$B$8*J10*COS(RADIANS('Inputs &amp; Baseline'!$B$10))^2-'Inputs &amp; Baseline'!$B$11*'Inputs &amp; Baseline'!$B$8*J10)*TAN(RADIANS('Inputs &amp; Baseline'!$B$7)))/('Inputs &amp; Baseline'!$B$8*J10*SIN(RADIANS('Inputs &amp; Baseline'!$B$10))*COS(RADIANS('Inputs &amp; Baseline'!$B$10)))</f>
        <v>1.22028231304833</v>
      </c>
      <c r="M10" s="0" t="n">
        <v>24.5</v>
      </c>
      <c r="N10" s="12" t="n">
        <f aca="false">('Inputs &amp; Baseline'!$B$6+('Inputs &amp; Baseline'!$B$8*'Inputs &amp; Baseline'!$B$9*COS(RADIANS(M10))^2-'Inputs &amp; Baseline'!$B$11*'Inputs &amp; Baseline'!$B$8*'Inputs &amp; Baseline'!$B$9)*TAN(RADIANS('Inputs &amp; Baseline'!$B$7)))/('Inputs &amp; Baseline'!$B$8*'Inputs &amp; Baseline'!$B$9*SIN(RADIANS(M10))*COS(RADIANS(M10)))</f>
        <v>1.39063128633759</v>
      </c>
      <c r="P10" s="0" t="n">
        <v>0.0729</v>
      </c>
      <c r="Q10" s="12" t="n">
        <f aca="false">('Inputs &amp; Baseline'!$B$6+('Inputs &amp; Baseline'!$B$8*'Inputs &amp; Baseline'!$B$9*COS(RADIANS('Inputs &amp; Baseline'!$B$10))^2-P10*'Inputs &amp; Baseline'!$B$8*'Inputs &amp; Baseline'!$B$9)*TAN(RADIANS('Inputs &amp; Baseline'!$B$7)))/('Inputs &amp; Baseline'!$B$8*'Inputs &amp; Baseline'!$B$9*SIN(RADIANS('Inputs &amp; Baseline'!$B$10))*COS(RADIANS('Inputs &amp; Baseline'!$B$10)))</f>
        <v>1.31437754033757</v>
      </c>
    </row>
    <row r="11" customFormat="false" ht="15" hidden="false" customHeight="false" outlineLevel="0" collapsed="false">
      <c r="A11" s="0" t="n">
        <v>10</v>
      </c>
      <c r="B11" s="12" t="n">
        <f aca="false">(A11+('Inputs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1.14393250816638</v>
      </c>
      <c r="D11" s="0" t="n">
        <v>31</v>
      </c>
      <c r="E11" s="12" t="n">
        <f aca="false">('Inputs &amp; Baseline'!$B$6+('Inputs &amp; Baseline'!$B$8*'Inputs &amp; Baseline'!$B$9*COS(RADIANS('Inputs &amp; Baseline'!$B$10))^2-'Inputs &amp; Baseline'!$B$11*'Inputs &amp; Baseline'!$B$8*'Inputs &amp; Baseline'!$B$9)*TAN(RADIANS(D11)))/('Inputs &amp; Baseline'!$B$8*'Inputs &amp; Baseline'!$B$9*SIN(RADIANS('Inputs &amp; Baseline'!$B$10))*COS(RADIANS('Inputs &amp; Baseline'!$B$10)))</f>
        <v>1.03324560407384</v>
      </c>
      <c r="G11" s="0" t="n">
        <v>19</v>
      </c>
      <c r="H11" s="12" t="n">
        <f aca="false">('Inputs &amp; Baseline'!$B$6+(G11*'Inputs &amp; Baseline'!$B$9*COS(RADIANS('Inputs &amp; Baseline'!$B$10))^2-'Inputs &amp; Baseline'!$B$11*G11*'Inputs &amp; Baseline'!$B$9)*TAN(RADIANS('Inputs &amp; Baseline'!$B$7)))/(G11*'Inputs &amp; Baseline'!$B$9*SIN(RADIANS('Inputs &amp; Baseline'!$B$10))*COS(RADIANS('Inputs &amp; Baseline'!$B$10)))</f>
        <v>1.19048828863495</v>
      </c>
      <c r="J11" s="0" t="n">
        <v>12.25</v>
      </c>
      <c r="K11" s="12" t="n">
        <f aca="false">('Inputs &amp; Baseline'!$B$6+('Inputs &amp; Baseline'!$B$8*J11*COS(RADIANS('Inputs &amp; Baseline'!$B$10))^2-'Inputs &amp; Baseline'!$B$11*'Inputs &amp; Baseline'!$B$8*J11)*TAN(RADIANS('Inputs &amp; Baseline'!$B$7)))/('Inputs &amp; Baseline'!$B$8*J11*SIN(RADIANS('Inputs &amp; Baseline'!$B$10))*COS(RADIANS('Inputs &amp; Baseline'!$B$10)))</f>
        <v>1.21121813522578</v>
      </c>
      <c r="M11" s="0" t="n">
        <v>25</v>
      </c>
      <c r="N11" s="12" t="n">
        <f aca="false">('Inputs &amp; Baseline'!$B$6+('Inputs &amp; Baseline'!$B$8*'Inputs &amp; Baseline'!$B$9*COS(RADIANS(M11))^2-'Inputs &amp; Baseline'!$B$11*'Inputs &amp; Baseline'!$B$8*'Inputs &amp; Baseline'!$B$9)*TAN(RADIANS('Inputs &amp; Baseline'!$B$7)))/('Inputs &amp; Baseline'!$B$8*'Inputs &amp; Baseline'!$B$9*SIN(RADIANS(M11))*COS(RADIANS(M11)))</f>
        <v>1.3579238330896</v>
      </c>
      <c r="P11" s="0" t="n">
        <v>0.0875</v>
      </c>
      <c r="Q11" s="12" t="n">
        <f aca="false">('Inputs &amp; Baseline'!$B$6+('Inputs &amp; Baseline'!$B$8*'Inputs &amp; Baseline'!$B$9*COS(RADIANS('Inputs &amp; Baseline'!$B$10))^2-P11*'Inputs &amp; Baseline'!$B$8*'Inputs &amp; Baseline'!$B$9)*TAN(RADIANS('Inputs &amp; Baseline'!$B$7)))/('Inputs &amp; Baseline'!$B$8*'Inputs &amp; Baseline'!$B$9*SIN(RADIANS('Inputs &amp; Baseline'!$B$10))*COS(RADIANS('Inputs &amp; Baseline'!$B$10)))</f>
        <v>1.28971513564979</v>
      </c>
    </row>
    <row r="12" customFormat="false" ht="15" hidden="false" customHeight="false" outlineLevel="0" collapsed="false">
      <c r="A12" s="0" t="n">
        <v>10.8333</v>
      </c>
      <c r="B12" s="12" t="n">
        <f aca="false">(A12+('Inputs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1.15063345094297</v>
      </c>
      <c r="D12" s="0" t="n">
        <v>31.5</v>
      </c>
      <c r="E12" s="12" t="n">
        <f aca="false">('Inputs &amp; Baseline'!$B$6+('Inputs &amp; Baseline'!$B$8*'Inputs &amp; Baseline'!$B$9*COS(RADIANS('Inputs &amp; Baseline'!$B$10))^2-'Inputs &amp; Baseline'!$B$11*'Inputs &amp; Baseline'!$B$8*'Inputs &amp; Baseline'!$B$9)*TAN(RADIANS(D12)))/('Inputs &amp; Baseline'!$B$8*'Inputs &amp; Baseline'!$B$9*SIN(RADIANS('Inputs &amp; Baseline'!$B$10))*COS(RADIANS('Inputs &amp; Baseline'!$B$10)))</f>
        <v>1.05138106223673</v>
      </c>
      <c r="G12" s="0" t="n">
        <v>19.1667</v>
      </c>
      <c r="H12" s="12" t="n">
        <f aca="false">('Inputs &amp; Baseline'!$B$6+(G12*'Inputs &amp; Baseline'!$B$9*COS(RADIANS('Inputs &amp; Baseline'!$B$10))^2-'Inputs &amp; Baseline'!$B$11*G12*'Inputs &amp; Baseline'!$B$9)*TAN(RADIANS('Inputs &amp; Baseline'!$B$7)))/(G12*'Inputs &amp; Baseline'!$B$9*SIN(RADIANS('Inputs &amp; Baseline'!$B$10))*COS(RADIANS('Inputs &amp; Baseline'!$B$10)))</f>
        <v>1.18938398008218</v>
      </c>
      <c r="J12" s="0" t="n">
        <v>12.9583</v>
      </c>
      <c r="K12" s="12" t="n">
        <f aca="false">('Inputs &amp; Baseline'!$B$6+('Inputs &amp; Baseline'!$B$8*J12*COS(RADIANS('Inputs &amp; Baseline'!$B$10))^2-'Inputs &amp; Baseline'!$B$11*'Inputs &amp; Baseline'!$B$8*J12)*TAN(RADIANS('Inputs &amp; Baseline'!$B$7)))/('Inputs &amp; Baseline'!$B$8*J12*SIN(RADIANS('Inputs &amp; Baseline'!$B$10))*COS(RADIANS('Inputs &amp; Baseline'!$B$10)))</f>
        <v>1.20314485237429</v>
      </c>
      <c r="M12" s="0" t="n">
        <v>25.5</v>
      </c>
      <c r="N12" s="12" t="n">
        <f aca="false">('Inputs &amp; Baseline'!$B$6+('Inputs &amp; Baseline'!$B$8*'Inputs &amp; Baseline'!$B$9*COS(RADIANS(M12))^2-'Inputs &amp; Baseline'!$B$11*'Inputs &amp; Baseline'!$B$8*'Inputs &amp; Baseline'!$B$9)*TAN(RADIANS('Inputs &amp; Baseline'!$B$7)))/('Inputs &amp; Baseline'!$B$8*'Inputs &amp; Baseline'!$B$9*SIN(RADIANS(M12))*COS(RADIANS(M12)))</f>
        <v>1.32639196448562</v>
      </c>
      <c r="P12" s="0" t="n">
        <v>0.1021</v>
      </c>
      <c r="Q12" s="12" t="n">
        <f aca="false">('Inputs &amp; Baseline'!$B$6+('Inputs &amp; Baseline'!$B$8*'Inputs &amp; Baseline'!$B$9*COS(RADIANS('Inputs &amp; Baseline'!$B$10))^2-P12*'Inputs &amp; Baseline'!$B$8*'Inputs &amp; Baseline'!$B$9)*TAN(RADIANS('Inputs &amp; Baseline'!$B$7)))/('Inputs &amp; Baseline'!$B$8*'Inputs &amp; Baseline'!$B$9*SIN(RADIANS('Inputs &amp; Baseline'!$B$10))*COS(RADIANS('Inputs &amp; Baseline'!$B$10)))</f>
        <v>1.26505273096202</v>
      </c>
    </row>
    <row r="13" customFormat="false" ht="15" hidden="false" customHeight="false" outlineLevel="0" collapsed="false">
      <c r="A13" s="0" t="n">
        <v>11.6667</v>
      </c>
      <c r="B13" s="12" t="n">
        <f aca="false">(A13+('Inputs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1.15733519786486</v>
      </c>
      <c r="D13" s="0" t="n">
        <v>32</v>
      </c>
      <c r="E13" s="12" t="n">
        <f aca="false">('Inputs &amp; Baseline'!$B$6+('Inputs &amp; Baseline'!$B$8*'Inputs &amp; Baseline'!$B$9*COS(RADIANS('Inputs &amp; Baseline'!$B$10))^2-'Inputs &amp; Baseline'!$B$11*'Inputs &amp; Baseline'!$B$8*'Inputs &amp; Baseline'!$B$9)*TAN(RADIANS(D13)))/('Inputs &amp; Baseline'!$B$8*'Inputs &amp; Baseline'!$B$9*SIN(RADIANS('Inputs &amp; Baseline'!$B$10))*COS(RADIANS('Inputs &amp; Baseline'!$B$10)))</f>
        <v>1.06971153404716</v>
      </c>
      <c r="G13" s="0" t="n">
        <v>19.3333</v>
      </c>
      <c r="H13" s="12" t="n">
        <f aca="false">('Inputs &amp; Baseline'!$B$6+(G13*'Inputs &amp; Baseline'!$B$9*COS(RADIANS('Inputs &amp; Baseline'!$B$10))^2-'Inputs &amp; Baseline'!$B$11*G13*'Inputs &amp; Baseline'!$B$9)*TAN(RADIANS('Inputs &amp; Baseline'!$B$7)))/(G13*'Inputs &amp; Baseline'!$B$9*SIN(RADIANS('Inputs &amp; Baseline'!$B$10))*COS(RADIANS('Inputs &amp; Baseline'!$B$10)))</f>
        <v>1.18829936049304</v>
      </c>
      <c r="J13" s="0" t="n">
        <v>13.6667</v>
      </c>
      <c r="K13" s="12" t="n">
        <f aca="false">('Inputs &amp; Baseline'!$B$6+('Inputs &amp; Baseline'!$B$8*J13*COS(RADIANS('Inputs &amp; Baseline'!$B$10))^2-'Inputs &amp; Baseline'!$B$11*'Inputs &amp; Baseline'!$B$8*J13)*TAN(RADIANS('Inputs &amp; Baseline'!$B$7)))/('Inputs &amp; Baseline'!$B$8*J13*SIN(RADIANS('Inputs &amp; Baseline'!$B$10))*COS(RADIANS('Inputs &amp; Baseline'!$B$10)))</f>
        <v>1.19590743020081</v>
      </c>
      <c r="M13" s="0" t="n">
        <v>26</v>
      </c>
      <c r="N13" s="12" t="n">
        <f aca="false">('Inputs &amp; Baseline'!$B$6+('Inputs &amp; Baseline'!$B$8*'Inputs &amp; Baseline'!$B$9*COS(RADIANS(M13))^2-'Inputs &amp; Baseline'!$B$11*'Inputs &amp; Baseline'!$B$8*'Inputs &amp; Baseline'!$B$9)*TAN(RADIANS('Inputs &amp; Baseline'!$B$7)))/('Inputs &amp; Baseline'!$B$8*'Inputs &amp; Baseline'!$B$9*SIN(RADIANS(M13))*COS(RADIANS(M13)))</f>
        <v>1.29596719090563</v>
      </c>
      <c r="P13" s="0" t="n">
        <v>0.1167</v>
      </c>
      <c r="Q13" s="12" t="n">
        <f aca="false">('Inputs &amp; Baseline'!$B$6+('Inputs &amp; Baseline'!$B$8*'Inputs &amp; Baseline'!$B$9*COS(RADIANS('Inputs &amp; Baseline'!$B$10))^2-P13*'Inputs &amp; Baseline'!$B$8*'Inputs &amp; Baseline'!$B$9)*TAN(RADIANS('Inputs &amp; Baseline'!$B$7)))/('Inputs &amp; Baseline'!$B$8*'Inputs &amp; Baseline'!$B$9*SIN(RADIANS('Inputs &amp; Baseline'!$B$10))*COS(RADIANS('Inputs &amp; Baseline'!$B$10)))</f>
        <v>1.24039032627424</v>
      </c>
    </row>
    <row r="14" customFormat="false" ht="15" hidden="false" customHeight="false" outlineLevel="0" collapsed="false">
      <c r="A14" s="0" t="n">
        <v>12.5</v>
      </c>
      <c r="B14" s="12" t="n">
        <f aca="false">(A14+('Inputs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1.16403614064144</v>
      </c>
      <c r="D14" s="0" t="n">
        <v>32.5</v>
      </c>
      <c r="E14" s="12" t="n">
        <f aca="false">('Inputs &amp; Baseline'!$B$6+('Inputs &amp; Baseline'!$B$8*'Inputs &amp; Baseline'!$B$9*COS(RADIANS('Inputs &amp; Baseline'!$B$10))^2-'Inputs &amp; Baseline'!$B$11*'Inputs &amp; Baseline'!$B$8*'Inputs &amp; Baseline'!$B$9)*TAN(RADIANS(D14)))/('Inputs &amp; Baseline'!$B$8*'Inputs &amp; Baseline'!$B$9*SIN(RADIANS('Inputs &amp; Baseline'!$B$10))*COS(RADIANS('Inputs &amp; Baseline'!$B$10)))</f>
        <v>1.08824301972291</v>
      </c>
      <c r="G14" s="0" t="n">
        <v>19.5</v>
      </c>
      <c r="H14" s="12" t="n">
        <f aca="false">('Inputs &amp; Baseline'!$B$6+(G14*'Inputs &amp; Baseline'!$B$9*COS(RADIANS('Inputs &amp; Baseline'!$B$10))^2-'Inputs &amp; Baseline'!$B$11*G14*'Inputs &amp; Baseline'!$B$9)*TAN(RADIANS('Inputs &amp; Baseline'!$B$7)))/(G14*'Inputs &amp; Baseline'!$B$9*SIN(RADIANS('Inputs &amp; Baseline'!$B$10))*COS(RADIANS('Inputs &amp; Baseline'!$B$10)))</f>
        <v>1.18723263965113</v>
      </c>
      <c r="J14" s="0" t="n">
        <v>14.375</v>
      </c>
      <c r="K14" s="12" t="n">
        <f aca="false">('Inputs &amp; Baseline'!$B$6+('Inputs &amp; Baseline'!$B$8*J14*COS(RADIANS('Inputs &amp; Baseline'!$B$10))^2-'Inputs &amp; Baseline'!$B$11*'Inputs &amp; Baseline'!$B$8*J14)*TAN(RADIANS('Inputs &amp; Baseline'!$B$7)))/('Inputs &amp; Baseline'!$B$8*J14*SIN(RADIANS('Inputs &amp; Baseline'!$B$10))*COS(RADIANS('Inputs &amp; Baseline'!$B$10)))</f>
        <v>1.18938419897957</v>
      </c>
      <c r="M14" s="0" t="n">
        <v>26.5</v>
      </c>
      <c r="N14" s="12" t="n">
        <f aca="false">('Inputs &amp; Baseline'!$B$6+('Inputs &amp; Baseline'!$B$8*'Inputs &amp; Baseline'!$B$9*COS(RADIANS(M14))^2-'Inputs &amp; Baseline'!$B$11*'Inputs &amp; Baseline'!$B$8*'Inputs &amp; Baseline'!$B$9)*TAN(RADIANS('Inputs &amp; Baseline'!$B$7)))/('Inputs &amp; Baseline'!$B$8*'Inputs &amp; Baseline'!$B$9*SIN(RADIANS(M14))*COS(RADIANS(M14)))</f>
        <v>1.26658617083757</v>
      </c>
      <c r="P14" s="0" t="n">
        <v>0.1312</v>
      </c>
      <c r="Q14" s="12" t="n">
        <f aca="false">('Inputs &amp; Baseline'!$B$6+('Inputs &amp; Baseline'!$B$8*'Inputs &amp; Baseline'!$B$9*COS(RADIANS('Inputs &amp; Baseline'!$B$10))^2-P14*'Inputs &amp; Baseline'!$B$8*'Inputs &amp; Baseline'!$B$9)*TAN(RADIANS('Inputs &amp; Baseline'!$B$7)))/('Inputs &amp; Baseline'!$B$8*'Inputs &amp; Baseline'!$B$9*SIN(RADIANS('Inputs &amp; Baseline'!$B$10))*COS(RADIANS('Inputs &amp; Baseline'!$B$10)))</f>
        <v>1.21589684216652</v>
      </c>
    </row>
    <row r="15" customFormat="false" ht="15" hidden="false" customHeight="false" outlineLevel="0" collapsed="false">
      <c r="A15" s="0" t="n">
        <v>13.3333</v>
      </c>
      <c r="B15" s="12" t="n">
        <f aca="false">(A15+('Inputs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1.17073708341803</v>
      </c>
      <c r="D15" s="0" t="n">
        <v>33</v>
      </c>
      <c r="E15" s="12" t="n">
        <f aca="false">('Inputs &amp; Baseline'!$B$6+('Inputs &amp; Baseline'!$B$8*'Inputs &amp; Baseline'!$B$9*COS(RADIANS('Inputs &amp; Baseline'!$B$10))^2-'Inputs &amp; Baseline'!$B$11*'Inputs &amp; Baseline'!$B$8*'Inputs &amp; Baseline'!$B$9)*TAN(RADIANS(D15)))/('Inputs &amp; Baseline'!$B$8*'Inputs &amp; Baseline'!$B$9*SIN(RADIANS('Inputs &amp; Baseline'!$B$10))*COS(RADIANS('Inputs &amp; Baseline'!$B$10)))</f>
        <v>1.10698171373095</v>
      </c>
      <c r="G15" s="0" t="n">
        <v>19.6667</v>
      </c>
      <c r="H15" s="12" t="n">
        <f aca="false">('Inputs &amp; Baseline'!$B$6+(G15*'Inputs &amp; Baseline'!$B$9*COS(RADIANS('Inputs &amp; Baseline'!$B$10))^2-'Inputs &amp; Baseline'!$B$11*G15*'Inputs &amp; Baseline'!$B$9)*TAN(RADIANS('Inputs &amp; Baseline'!$B$7)))/(G15*'Inputs &amp; Baseline'!$B$9*SIN(RADIANS('Inputs &amp; Baseline'!$B$10))*COS(RADIANS('Inputs &amp; Baseline'!$B$10)))</f>
        <v>1.18618400240885</v>
      </c>
      <c r="J15" s="0" t="n">
        <v>15.0833</v>
      </c>
      <c r="K15" s="12" t="n">
        <f aca="false">('Inputs &amp; Baseline'!$B$6+('Inputs &amp; Baseline'!$B$8*J15*COS(RADIANS('Inputs &amp; Baseline'!$B$10))^2-'Inputs &amp; Baseline'!$B$11*'Inputs &amp; Baseline'!$B$8*J15)*TAN(RADIANS('Inputs &amp; Baseline'!$B$7)))/('Inputs &amp; Baseline'!$B$8*J15*SIN(RADIANS('Inputs &amp; Baseline'!$B$10))*COS(RADIANS('Inputs &amp; Baseline'!$B$10)))</f>
        <v>1.18347361945577</v>
      </c>
      <c r="M15" s="0" t="n">
        <v>27</v>
      </c>
      <c r="N15" s="12" t="n">
        <f aca="false">('Inputs &amp; Baseline'!$B$6+('Inputs &amp; Baseline'!$B$8*'Inputs &amp; Baseline'!$B$9*COS(RADIANS(M15))^2-'Inputs &amp; Baseline'!$B$11*'Inputs &amp; Baseline'!$B$8*'Inputs &amp; Baseline'!$B$9)*TAN(RADIANS('Inputs &amp; Baseline'!$B$7)))/('Inputs &amp; Baseline'!$B$8*'Inputs &amp; Baseline'!$B$9*SIN(RADIANS(M15))*COS(RADIANS(M15)))</f>
        <v>1.23819023359876</v>
      </c>
      <c r="P15" s="0" t="n">
        <v>0.1458</v>
      </c>
      <c r="Q15" s="12" t="n">
        <f aca="false">('Inputs &amp; Baseline'!$B$6+('Inputs &amp; Baseline'!$B$8*'Inputs &amp; Baseline'!$B$9*COS(RADIANS('Inputs &amp; Baseline'!$B$10))^2-P15*'Inputs &amp; Baseline'!$B$8*'Inputs &amp; Baseline'!$B$9)*TAN(RADIANS('Inputs &amp; Baseline'!$B$7)))/('Inputs &amp; Baseline'!$B$8*'Inputs &amp; Baseline'!$B$9*SIN(RADIANS('Inputs &amp; Baseline'!$B$10))*COS(RADIANS('Inputs &amp; Baseline'!$B$10)))</f>
        <v>1.19123443747875</v>
      </c>
    </row>
    <row r="16" customFormat="false" ht="15" hidden="false" customHeight="false" outlineLevel="0" collapsed="false">
      <c r="A16" s="0" t="n">
        <v>14.1667</v>
      </c>
      <c r="B16" s="12" t="n">
        <f aca="false">(A16+('Inputs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1.17743883033992</v>
      </c>
      <c r="D16" s="0" t="n">
        <v>33.5</v>
      </c>
      <c r="E16" s="12" t="n">
        <f aca="false">('Inputs &amp; Baseline'!$B$6+('Inputs &amp; Baseline'!$B$8*'Inputs &amp; Baseline'!$B$9*COS(RADIANS('Inputs &amp; Baseline'!$B$10))^2-'Inputs &amp; Baseline'!$B$11*'Inputs &amp; Baseline'!$B$8*'Inputs &amp; Baseline'!$B$9)*TAN(RADIANS(D16)))/('Inputs &amp; Baseline'!$B$8*'Inputs &amp; Baseline'!$B$9*SIN(RADIANS('Inputs &amp; Baseline'!$B$10))*COS(RADIANS('Inputs &amp; Baseline'!$B$10)))</f>
        <v>1.12593401369079</v>
      </c>
      <c r="G16" s="0" t="n">
        <v>19.8333</v>
      </c>
      <c r="H16" s="12" t="n">
        <f aca="false">('Inputs &amp; Baseline'!$B$6+(G16*'Inputs &amp; Baseline'!$B$9*COS(RADIANS('Inputs &amp; Baseline'!$B$10))^2-'Inputs &amp; Baseline'!$B$11*G16*'Inputs &amp; Baseline'!$B$9)*TAN(RADIANS('Inputs &amp; Baseline'!$B$7)))/(G16*'Inputs &amp; Baseline'!$B$9*SIN(RADIANS('Inputs &amp; Baseline'!$B$10))*COS(RADIANS('Inputs &amp; Baseline'!$B$10)))</f>
        <v>1.18515360607429</v>
      </c>
      <c r="J16" s="0" t="n">
        <v>15.7917</v>
      </c>
      <c r="K16" s="12" t="n">
        <f aca="false">('Inputs &amp; Baseline'!$B$6+('Inputs &amp; Baseline'!$B$8*J16*COS(RADIANS('Inputs &amp; Baseline'!$B$10))^2-'Inputs &amp; Baseline'!$B$11*'Inputs &amp; Baseline'!$B$8*J16)*TAN(RADIANS('Inputs &amp; Baseline'!$B$7)))/('Inputs &amp; Baseline'!$B$8*J16*SIN(RADIANS('Inputs &amp; Baseline'!$B$10))*COS(RADIANS('Inputs &amp; Baseline'!$B$10)))</f>
        <v>1.17809252836243</v>
      </c>
      <c r="M16" s="0" t="n">
        <v>27.5</v>
      </c>
      <c r="N16" s="12" t="n">
        <f aca="false">('Inputs &amp; Baseline'!$B$6+('Inputs &amp; Baseline'!$B$8*'Inputs &amp; Baseline'!$B$9*COS(RADIANS(M16))^2-'Inputs &amp; Baseline'!$B$11*'Inputs &amp; Baseline'!$B$8*'Inputs &amp; Baseline'!$B$9)*TAN(RADIANS('Inputs &amp; Baseline'!$B$7)))/('Inputs &amp; Baseline'!$B$8*'Inputs &amp; Baseline'!$B$9*SIN(RADIANS(M16))*COS(RADIANS(M16)))</f>
        <v>1.21072495409579</v>
      </c>
      <c r="P16" s="0" t="n">
        <v>0.1604</v>
      </c>
      <c r="Q16" s="12" t="n">
        <f aca="false">('Inputs &amp; Baseline'!$B$6+('Inputs &amp; Baseline'!$B$8*'Inputs &amp; Baseline'!$B$9*COS(RADIANS('Inputs &amp; Baseline'!$B$10))^2-P16*'Inputs &amp; Baseline'!$B$8*'Inputs &amp; Baseline'!$B$9)*TAN(RADIANS('Inputs &amp; Baseline'!$B$7)))/('Inputs &amp; Baseline'!$B$8*'Inputs &amp; Baseline'!$B$9*SIN(RADIANS('Inputs &amp; Baseline'!$B$10))*COS(RADIANS('Inputs &amp; Baseline'!$B$10)))</f>
        <v>1.16657203279097</v>
      </c>
    </row>
    <row r="17" customFormat="false" ht="15" hidden="false" customHeight="false" outlineLevel="0" collapsed="false">
      <c r="A17" s="0" t="n">
        <v>15</v>
      </c>
      <c r="B17" s="12" t="n">
        <f aca="false">(A17+('Inputs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1.18413977311651</v>
      </c>
      <c r="D17" s="0" t="n">
        <v>34</v>
      </c>
      <c r="E17" s="12" t="n">
        <f aca="false">('Inputs &amp; Baseline'!$B$6+('Inputs &amp; Baseline'!$B$8*'Inputs &amp; Baseline'!$B$9*COS(RADIANS('Inputs &amp; Baseline'!$B$10))^2-'Inputs &amp; Baseline'!$B$11*'Inputs &amp; Baseline'!$B$8*'Inputs &amp; Baseline'!$B$9)*TAN(RADIANS(D17)))/('Inputs &amp; Baseline'!$B$8*'Inputs &amp; Baseline'!$B$9*SIN(RADIANS('Inputs &amp; Baseline'!$B$10))*COS(RADIANS('Inputs &amp; Baseline'!$B$10)))</f>
        <v>1.14510652974722</v>
      </c>
      <c r="G17" s="0" t="n">
        <v>20</v>
      </c>
      <c r="H17" s="12" t="n">
        <f aca="false">('Inputs &amp; Baseline'!$B$6+(G17*'Inputs &amp; Baseline'!$B$9*COS(RADIANS('Inputs &amp; Baseline'!$B$10))^2-'Inputs &amp; Baseline'!$B$11*G17*'Inputs &amp; Baseline'!$B$9)*TAN(RADIANS('Inputs &amp; Baseline'!$B$7)))/(G17*'Inputs &amp; Baseline'!$B$9*SIN(RADIANS('Inputs &amp; Baseline'!$B$10))*COS(RADIANS('Inputs &amp; Baseline'!$B$10)))</f>
        <v>1.18413977311651</v>
      </c>
      <c r="J17" s="0" t="n">
        <v>16.5</v>
      </c>
      <c r="K17" s="12" t="n">
        <f aca="false">('Inputs &amp; Baseline'!$B$6+('Inputs &amp; Baseline'!$B$8*J17*COS(RADIANS('Inputs &amp; Baseline'!$B$10))^2-'Inputs &amp; Baseline'!$B$11*'Inputs &amp; Baseline'!$B$8*J17)*TAN(RADIANS('Inputs &amp; Baseline'!$B$7)))/('Inputs &amp; Baseline'!$B$8*J17*SIN(RADIANS('Inputs &amp; Baseline'!$B$10))*COS(RADIANS('Inputs &amp; Baseline'!$B$10)))</f>
        <v>1.17317415540284</v>
      </c>
      <c r="M17" s="0" t="n">
        <v>28</v>
      </c>
      <c r="N17" s="12" t="n">
        <f aca="false">('Inputs &amp; Baseline'!$B$6+('Inputs &amp; Baseline'!$B$8*'Inputs &amp; Baseline'!$B$9*COS(RADIANS(M17))^2-'Inputs &amp; Baseline'!$B$11*'Inputs &amp; Baseline'!$B$8*'Inputs &amp; Baseline'!$B$9)*TAN(RADIANS('Inputs &amp; Baseline'!$B$7)))/('Inputs &amp; Baseline'!$B$8*'Inputs &amp; Baseline'!$B$9*SIN(RADIANS(M17))*COS(RADIANS(M17)))</f>
        <v>1.18413977311651</v>
      </c>
      <c r="P17" s="0" t="n">
        <v>0.175</v>
      </c>
      <c r="Q17" s="12" t="n">
        <f aca="false">('Inputs &amp; Baseline'!$B$6+('Inputs &amp; Baseline'!$B$8*'Inputs &amp; Baseline'!$B$9*COS(RADIANS('Inputs &amp; Baseline'!$B$10))^2-P17*'Inputs &amp; Baseline'!$B$8*'Inputs &amp; Baseline'!$B$9)*TAN(RADIANS('Inputs &amp; Baseline'!$B$7)))/('Inputs &amp; Baseline'!$B$8*'Inputs &amp; Baseline'!$B$9*SIN(RADIANS('Inputs &amp; Baseline'!$B$10))*COS(RADIANS('Inputs &amp; Baseline'!$B$10)))</f>
        <v>1.14190962810319</v>
      </c>
    </row>
    <row r="18" customFormat="false" ht="15" hidden="false" customHeight="false" outlineLevel="0" collapsed="false">
      <c r="A18" s="0" t="n">
        <v>15.8333</v>
      </c>
      <c r="B18" s="12" t="n">
        <f aca="false">(A18+('Inputs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1.1908407158931</v>
      </c>
      <c r="D18" s="0" t="n">
        <v>34.5</v>
      </c>
      <c r="E18" s="12" t="n">
        <f aca="false">('Inputs &amp; Baseline'!$B$6+('Inputs &amp; Baseline'!$B$8*'Inputs &amp; Baseline'!$B$9*COS(RADIANS('Inputs &amp; Baseline'!$B$10))^2-'Inputs &amp; Baseline'!$B$11*'Inputs &amp; Baseline'!$B$8*'Inputs &amp; Baseline'!$B$9)*TAN(RADIANS(D18)))/('Inputs &amp; Baseline'!$B$8*'Inputs &amp; Baseline'!$B$9*SIN(RADIANS('Inputs &amp; Baseline'!$B$10))*COS(RADIANS('Inputs &amp; Baseline'!$B$10)))</f>
        <v>1.16450609444197</v>
      </c>
      <c r="G18" s="0" t="n">
        <v>20.1667</v>
      </c>
      <c r="H18" s="12" t="n">
        <f aca="false">('Inputs &amp; Baseline'!$B$6+(G18*'Inputs &amp; Baseline'!$B$9*COS(RADIANS('Inputs &amp; Baseline'!$B$10))^2-'Inputs &amp; Baseline'!$B$11*G18*'Inputs &amp; Baseline'!$B$9)*TAN(RADIANS('Inputs &amp; Baseline'!$B$7)))/(G18*'Inputs &amp; Baseline'!$B$9*SIN(RADIANS('Inputs &amp; Baseline'!$B$10))*COS(RADIANS('Inputs &amp; Baseline'!$B$10)))</f>
        <v>1.18314270105209</v>
      </c>
      <c r="J18" s="0" t="n">
        <v>17.2083</v>
      </c>
      <c r="K18" s="12" t="n">
        <f aca="false">('Inputs &amp; Baseline'!$B$6+('Inputs &amp; Baseline'!$B$8*J18*COS(RADIANS('Inputs &amp; Baseline'!$B$10))^2-'Inputs &amp; Baseline'!$B$11*'Inputs &amp; Baseline'!$B$8*J18)*TAN(RADIANS('Inputs &amp; Baseline'!$B$7)))/('Inputs &amp; Baseline'!$B$8*J18*SIN(RADIANS('Inputs &amp; Baseline'!$B$10))*COS(RADIANS('Inputs &amp; Baseline'!$B$10)))</f>
        <v>1.1686606665477</v>
      </c>
      <c r="M18" s="0" t="n">
        <v>28.5</v>
      </c>
      <c r="N18" s="12" t="n">
        <f aca="false">('Inputs &amp; Baseline'!$B$6+('Inputs &amp; Baseline'!$B$8*'Inputs &amp; Baseline'!$B$9*COS(RADIANS(M18))^2-'Inputs &amp; Baseline'!$B$11*'Inputs &amp; Baseline'!$B$8*'Inputs &amp; Baseline'!$B$9)*TAN(RADIANS('Inputs &amp; Baseline'!$B$7)))/('Inputs &amp; Baseline'!$B$8*'Inputs &amp; Baseline'!$B$9*SIN(RADIANS(M18))*COS(RADIANS(M18)))</f>
        <v>1.15838765756091</v>
      </c>
      <c r="P18" s="0" t="n">
        <v>0.1896</v>
      </c>
      <c r="Q18" s="12" t="n">
        <f aca="false">('Inputs &amp; Baseline'!$B$6+('Inputs &amp; Baseline'!$B$8*'Inputs &amp; Baseline'!$B$9*COS(RADIANS('Inputs &amp; Baseline'!$B$10))^2-P18*'Inputs &amp; Baseline'!$B$8*'Inputs &amp; Baseline'!$B$9)*TAN(RADIANS('Inputs &amp; Baseline'!$B$7)))/('Inputs &amp; Baseline'!$B$8*'Inputs &amp; Baseline'!$B$9*SIN(RADIANS('Inputs &amp; Baseline'!$B$10))*COS(RADIANS('Inputs &amp; Baseline'!$B$10)))</f>
        <v>1.11724722341542</v>
      </c>
    </row>
    <row r="19" customFormat="false" ht="15" hidden="false" customHeight="false" outlineLevel="0" collapsed="false">
      <c r="A19" s="0" t="n">
        <v>16.6667</v>
      </c>
      <c r="B19" s="12" t="n">
        <f aca="false">(A19+('Inputs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1.19754246281499</v>
      </c>
      <c r="D19" s="0" t="n">
        <v>35</v>
      </c>
      <c r="E19" s="12" t="n">
        <f aca="false">('Inputs &amp; Baseline'!$B$6+('Inputs &amp; Baseline'!$B$8*'Inputs &amp; Baseline'!$B$9*COS(RADIANS('Inputs &amp; Baseline'!$B$10))^2-'Inputs &amp; Baseline'!$B$11*'Inputs &amp; Baseline'!$B$8*'Inputs &amp; Baseline'!$B$9)*TAN(RADIANS(D19)))/('Inputs &amp; Baseline'!$B$8*'Inputs &amp; Baseline'!$B$9*SIN(RADIANS('Inputs &amp; Baseline'!$B$10))*COS(RADIANS('Inputs &amp; Baseline'!$B$10)))</f>
        <v>1.18413977311651</v>
      </c>
      <c r="G19" s="0" t="n">
        <v>20.3333</v>
      </c>
      <c r="H19" s="12" t="n">
        <f aca="false">('Inputs &amp; Baseline'!$B$6+(G19*'Inputs &amp; Baseline'!$B$9*COS(RADIANS('Inputs &amp; Baseline'!$B$10))^2-'Inputs &amp; Baseline'!$B$11*G19*'Inputs &amp; Baseline'!$B$9)*TAN(RADIANS('Inputs &amp; Baseline'!$B$7)))/(G19*'Inputs &amp; Baseline'!$B$9*SIN(RADIANS('Inputs &amp; Baseline'!$B$10))*COS(RADIANS('Inputs &amp; Baseline'!$B$10)))</f>
        <v>1.18216256114287</v>
      </c>
      <c r="J19" s="0" t="n">
        <v>17.9167</v>
      </c>
      <c r="K19" s="12" t="n">
        <f aca="false">('Inputs &amp; Baseline'!$B$6+('Inputs &amp; Baseline'!$B$8*J19*COS(RADIANS('Inputs &amp; Baseline'!$B$10))^2-'Inputs &amp; Baseline'!$B$11*'Inputs &amp; Baseline'!$B$8*J19)*TAN(RADIANS('Inputs &amp; Baseline'!$B$7)))/('Inputs &amp; Baseline'!$B$8*J19*SIN(RADIANS('Inputs &amp; Baseline'!$B$10))*COS(RADIANS('Inputs &amp; Baseline'!$B$10)))</f>
        <v>1.16450347909807</v>
      </c>
      <c r="M19" s="0" t="n">
        <v>29</v>
      </c>
      <c r="N19" s="12" t="n">
        <f aca="false">('Inputs &amp; Baseline'!$B$6+('Inputs &amp; Baseline'!$B$8*'Inputs &amp; Baseline'!$B$9*COS(RADIANS(M19))^2-'Inputs &amp; Baseline'!$B$11*'Inputs &amp; Baseline'!$B$8*'Inputs &amp; Baseline'!$B$9)*TAN(RADIANS('Inputs &amp; Baseline'!$B$7)))/('Inputs &amp; Baseline'!$B$8*'Inputs &amp; Baseline'!$B$9*SIN(RADIANS(M19))*COS(RADIANS(M19)))</f>
        <v>1.1334247957891</v>
      </c>
      <c r="P19" s="0" t="n">
        <v>0.2042</v>
      </c>
      <c r="Q19" s="12" t="n">
        <f aca="false">('Inputs &amp; Baseline'!$B$6+('Inputs &amp; Baseline'!$B$8*'Inputs &amp; Baseline'!$B$9*COS(RADIANS('Inputs &amp; Baseline'!$B$10))^2-P19*'Inputs &amp; Baseline'!$B$8*'Inputs &amp; Baseline'!$B$9)*TAN(RADIANS('Inputs &amp; Baseline'!$B$7)))/('Inputs &amp; Baseline'!$B$8*'Inputs &amp; Baseline'!$B$9*SIN(RADIANS('Inputs &amp; Baseline'!$B$10))*COS(RADIANS('Inputs &amp; Baseline'!$B$10)))</f>
        <v>1.09258481872764</v>
      </c>
    </row>
    <row r="20" customFormat="false" ht="15" hidden="false" customHeight="false" outlineLevel="0" collapsed="false">
      <c r="A20" s="0" t="n">
        <v>17.5</v>
      </c>
      <c r="B20" s="12" t="n">
        <f aca="false">(A20+('Inputs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1.20424340559157</v>
      </c>
      <c r="D20" s="0" t="n">
        <v>35.5</v>
      </c>
      <c r="E20" s="12" t="n">
        <f aca="false">('Inputs &amp; Baseline'!$B$6+('Inputs &amp; Baseline'!$B$8*'Inputs &amp; Baseline'!$B$9*COS(RADIANS('Inputs &amp; Baseline'!$B$10))^2-'Inputs &amp; Baseline'!$B$11*'Inputs &amp; Baseline'!$B$8*'Inputs &amp; Baseline'!$B$9)*TAN(RADIANS(D20)))/('Inputs &amp; Baseline'!$B$8*'Inputs &amp; Baseline'!$B$9*SIN(RADIANS('Inputs &amp; Baseline'!$B$10))*COS(RADIANS('Inputs &amp; Baseline'!$B$10)))</f>
        <v>1.20401487488013</v>
      </c>
      <c r="G20" s="0" t="n">
        <v>20.5</v>
      </c>
      <c r="H20" s="12" t="n">
        <f aca="false">('Inputs &amp; Baseline'!$B$6+(G20*'Inputs &amp; Baseline'!$B$9*COS(RADIANS('Inputs &amp; Baseline'!$B$10))^2-'Inputs &amp; Baseline'!$B$11*G20*'Inputs &amp; Baseline'!$B$9)*TAN(RADIANS('Inputs &amp; Baseline'!$B$7)))/(G20*'Inputs &amp; Baseline'!$B$9*SIN(RADIANS('Inputs &amp; Baseline'!$B$10))*COS(RADIANS('Inputs &amp; Baseline'!$B$10)))</f>
        <v>1.18119777812016</v>
      </c>
      <c r="J20" s="0" t="n">
        <v>18.625</v>
      </c>
      <c r="K20" s="12" t="n">
        <f aca="false">('Inputs &amp; Baseline'!$B$6+('Inputs &amp; Baseline'!$B$8*J20*COS(RADIANS('Inputs &amp; Baseline'!$B$10))^2-'Inputs &amp; Baseline'!$B$11*'Inputs &amp; Baseline'!$B$8*J20)*TAN(RADIANS('Inputs &amp; Baseline'!$B$7)))/('Inputs &amp; Baseline'!$B$8*J20*SIN(RADIANS('Inputs &amp; Baseline'!$B$10))*COS(RADIANS('Inputs &amp; Baseline'!$B$10)))</f>
        <v>1.16066304794429</v>
      </c>
      <c r="M20" s="0" t="n">
        <v>29.5</v>
      </c>
      <c r="N20" s="12" t="n">
        <f aca="false">('Inputs &amp; Baseline'!$B$6+('Inputs &amp; Baseline'!$B$8*'Inputs &amp; Baseline'!$B$9*COS(RADIANS(M20))^2-'Inputs &amp; Baseline'!$B$11*'Inputs &amp; Baseline'!$B$8*'Inputs &amp; Baseline'!$B$9)*TAN(RADIANS('Inputs &amp; Baseline'!$B$7)))/('Inputs &amp; Baseline'!$B$8*'Inputs &amp; Baseline'!$B$9*SIN(RADIANS(M20))*COS(RADIANS(M20)))</f>
        <v>1.10921032391815</v>
      </c>
      <c r="P20" s="0" t="n">
        <v>0.2187</v>
      </c>
      <c r="Q20" s="12" t="n">
        <f aca="false">('Inputs &amp; Baseline'!$B$6+('Inputs &amp; Baseline'!$B$8*'Inputs &amp; Baseline'!$B$9*COS(RADIANS('Inputs &amp; Baseline'!$B$10))^2-P20*'Inputs &amp; Baseline'!$B$8*'Inputs &amp; Baseline'!$B$9)*TAN(RADIANS('Inputs &amp; Baseline'!$B$7)))/('Inputs &amp; Baseline'!$B$8*'Inputs &amp; Baseline'!$B$9*SIN(RADIANS('Inputs &amp; Baseline'!$B$10))*COS(RADIANS('Inputs &amp; Baseline'!$B$10)))</f>
        <v>1.06809133461992</v>
      </c>
    </row>
    <row r="21" customFormat="false" ht="15" hidden="false" customHeight="false" outlineLevel="0" collapsed="false">
      <c r="A21" s="0" t="n">
        <v>18.3333</v>
      </c>
      <c r="B21" s="12" t="n">
        <f aca="false">(A21+('Inputs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1.21094434836816</v>
      </c>
      <c r="D21" s="0" t="n">
        <v>36</v>
      </c>
      <c r="E21" s="12" t="n">
        <f aca="false">('Inputs &amp; Baseline'!$B$6+('Inputs &amp; Baseline'!$B$8*'Inputs &amp; Baseline'!$B$9*COS(RADIANS('Inputs &amp; Baseline'!$B$10))^2-'Inputs &amp; Baseline'!$B$11*'Inputs &amp; Baseline'!$B$8*'Inputs &amp; Baseline'!$B$9)*TAN(RADIANS(D21)))/('Inputs &amp; Baseline'!$B$8*'Inputs &amp; Baseline'!$B$9*SIN(RADIANS('Inputs &amp; Baseline'!$B$10))*COS(RADIANS('Inputs &amp; Baseline'!$B$10)))</f>
        <v>1.22413896418026</v>
      </c>
      <c r="G21" s="0" t="n">
        <v>20.6667</v>
      </c>
      <c r="H21" s="12" t="n">
        <f aca="false">('Inputs &amp; Baseline'!$B$6+(G21*'Inputs &amp; Baseline'!$B$9*COS(RADIANS('Inputs &amp; Baseline'!$B$10))^2-'Inputs &amp; Baseline'!$B$11*G21*'Inputs &amp; Baseline'!$B$9)*TAN(RADIANS('Inputs &amp; Baseline'!$B$7)))/(G21*'Inputs &amp; Baseline'!$B$9*SIN(RADIANS('Inputs &amp; Baseline'!$B$10))*COS(RADIANS('Inputs &amp; Baseline'!$B$10)))</f>
        <v>1.18024855920104</v>
      </c>
      <c r="J21" s="0" t="n">
        <v>19.3333</v>
      </c>
      <c r="K21" s="12" t="n">
        <f aca="false">('Inputs &amp; Baseline'!$B$6+('Inputs &amp; Baseline'!$B$8*J21*COS(RADIANS('Inputs &amp; Baseline'!$B$10))^2-'Inputs &amp; Baseline'!$B$11*'Inputs &amp; Baseline'!$B$8*J21)*TAN(RADIANS('Inputs &amp; Baseline'!$B$7)))/('Inputs &amp; Baseline'!$B$8*J21*SIN(RADIANS('Inputs &amp; Baseline'!$B$10))*COS(RADIANS('Inputs &amp; Baseline'!$B$10)))</f>
        <v>1.15710401493631</v>
      </c>
      <c r="M21" s="0" t="n">
        <v>30</v>
      </c>
      <c r="N21" s="12" t="n">
        <f aca="false">('Inputs &amp; Baseline'!$B$6+('Inputs &amp; Baseline'!$B$8*'Inputs &amp; Baseline'!$B$9*COS(RADIANS(M21))^2-'Inputs &amp; Baseline'!$B$11*'Inputs &amp; Baseline'!$B$8*'Inputs &amp; Baseline'!$B$9)*TAN(RADIANS('Inputs &amp; Baseline'!$B$7)))/('Inputs &amp; Baseline'!$B$8*'Inputs &amp; Baseline'!$B$9*SIN(RADIANS(M21))*COS(RADIANS(M21)))</f>
        <v>1.08570607945548</v>
      </c>
      <c r="P21" s="0" t="n">
        <v>0.2333</v>
      </c>
      <c r="Q21" s="12" t="n">
        <f aca="false">('Inputs &amp; Baseline'!$B$6+('Inputs &amp; Baseline'!$B$8*'Inputs &amp; Baseline'!$B$9*COS(RADIANS('Inputs &amp; Baseline'!$B$10))^2-P21*'Inputs &amp; Baseline'!$B$8*'Inputs &amp; Baseline'!$B$9)*TAN(RADIANS('Inputs &amp; Baseline'!$B$7)))/('Inputs &amp; Baseline'!$B$8*'Inputs &amp; Baseline'!$B$9*SIN(RADIANS('Inputs &amp; Baseline'!$B$10))*COS(RADIANS('Inputs &amp; Baseline'!$B$10)))</f>
        <v>1.04342892993215</v>
      </c>
    </row>
    <row r="22" customFormat="false" ht="15" hidden="false" customHeight="false" outlineLevel="0" collapsed="false">
      <c r="A22" s="0" t="n">
        <v>19.1667</v>
      </c>
      <c r="B22" s="12" t="n">
        <f aca="false">(A22+('Inputs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1.21764609529005</v>
      </c>
      <c r="D22" s="0" t="n">
        <v>36.5</v>
      </c>
      <c r="E22" s="12" t="n">
        <f aca="false">('Inputs &amp; Baseline'!$B$6+('Inputs &amp; Baseline'!$B$8*'Inputs &amp; Baseline'!$B$9*COS(RADIANS('Inputs &amp; Baseline'!$B$10))^2-'Inputs &amp; Baseline'!$B$11*'Inputs &amp; Baseline'!$B$8*'Inputs &amp; Baseline'!$B$9)*TAN(RADIANS(D22)))/('Inputs &amp; Baseline'!$B$8*'Inputs &amp; Baseline'!$B$9*SIN(RADIANS('Inputs &amp; Baseline'!$B$10))*COS(RADIANS('Inputs &amp; Baseline'!$B$10)))</f>
        <v>1.24451987301451</v>
      </c>
      <c r="G22" s="0" t="n">
        <v>20.8333</v>
      </c>
      <c r="H22" s="12" t="n">
        <f aca="false">('Inputs &amp; Baseline'!$B$6+(G22*'Inputs &amp; Baseline'!$B$9*COS(RADIANS('Inputs &amp; Baseline'!$B$10))^2-'Inputs &amp; Baseline'!$B$11*G22*'Inputs &amp; Baseline'!$B$9)*TAN(RADIANS('Inputs &amp; Baseline'!$B$7)))/(G22*'Inputs &amp; Baseline'!$B$9*SIN(RADIANS('Inputs &amp; Baseline'!$B$10))*COS(RADIANS('Inputs &amp; Baseline'!$B$10)))</f>
        <v>1.17931508659787</v>
      </c>
      <c r="J22" s="0" t="n">
        <v>20.0417</v>
      </c>
      <c r="K22" s="12" t="n">
        <f aca="false">('Inputs &amp; Baseline'!$B$6+('Inputs &amp; Baseline'!$B$8*J22*COS(RADIANS('Inputs &amp; Baseline'!$B$10))^2-'Inputs &amp; Baseline'!$B$11*'Inputs &amp; Baseline'!$B$8*J22)*TAN(RADIANS('Inputs &amp; Baseline'!$B$7)))/('Inputs &amp; Baseline'!$B$8*J22*SIN(RADIANS('Inputs &amp; Baseline'!$B$10))*COS(RADIANS('Inputs &amp; Baseline'!$B$10)))</f>
        <v>1.1537960945315</v>
      </c>
      <c r="M22" s="0" t="n">
        <v>30.5</v>
      </c>
      <c r="N22" s="12" t="n">
        <f aca="false">('Inputs &amp; Baseline'!$B$6+('Inputs &amp; Baseline'!$B$8*'Inputs &amp; Baseline'!$B$9*COS(RADIANS(M22))^2-'Inputs &amp; Baseline'!$B$11*'Inputs &amp; Baseline'!$B$8*'Inputs &amp; Baseline'!$B$9)*TAN(RADIANS('Inputs &amp; Baseline'!$B$7)))/('Inputs &amp; Baseline'!$B$8*'Inputs &amp; Baseline'!$B$9*SIN(RADIANS(M22))*COS(RADIANS(M22)))</f>
        <v>1.06287637912978</v>
      </c>
      <c r="P22" s="0" t="n">
        <v>0.2479</v>
      </c>
      <c r="Q22" s="12" t="n">
        <f aca="false">('Inputs &amp; Baseline'!$B$6+('Inputs &amp; Baseline'!$B$8*'Inputs &amp; Baseline'!$B$9*COS(RADIANS('Inputs &amp; Baseline'!$B$10))^2-P22*'Inputs &amp; Baseline'!$B$8*'Inputs &amp; Baseline'!$B$9)*TAN(RADIANS('Inputs &amp; Baseline'!$B$7)))/('Inputs &amp; Baseline'!$B$8*'Inputs &amp; Baseline'!$B$9*SIN(RADIANS('Inputs &amp; Baseline'!$B$10))*COS(RADIANS('Inputs &amp; Baseline'!$B$10)))</f>
        <v>1.01876652524437</v>
      </c>
    </row>
    <row r="23" customFormat="false" ht="15" hidden="false" customHeight="false" outlineLevel="0" collapsed="false">
      <c r="A23" s="0" t="n">
        <v>20</v>
      </c>
      <c r="B23" s="12" t="n">
        <f aca="false">(A23+('Inputs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1.22434703806664</v>
      </c>
      <c r="D23" s="0" t="n">
        <v>37</v>
      </c>
      <c r="E23" s="12" t="n">
        <f aca="false">('Inputs &amp; Baseline'!$B$6+('Inputs &amp; Baseline'!$B$8*'Inputs &amp; Baseline'!$B$9*COS(RADIANS('Inputs &amp; Baseline'!$B$10))^2-'Inputs &amp; Baseline'!$B$11*'Inputs &amp; Baseline'!$B$8*'Inputs &amp; Baseline'!$B$9)*TAN(RADIANS(D23)))/('Inputs &amp; Baseline'!$B$8*'Inputs &amp; Baseline'!$B$9*SIN(RADIANS('Inputs &amp; Baseline'!$B$10))*COS(RADIANS('Inputs &amp; Baseline'!$B$10)))</f>
        <v>1.26516571382709</v>
      </c>
      <c r="G23" s="0" t="n">
        <v>21</v>
      </c>
      <c r="H23" s="12" t="n">
        <f aca="false">('Inputs &amp; Baseline'!$B$6+(G23*'Inputs &amp; Baseline'!$B$9*COS(RADIANS('Inputs &amp; Baseline'!$B$10))^2-'Inputs &amp; Baseline'!$B$11*G23*'Inputs &amp; Baseline'!$B$9)*TAN(RADIANS('Inputs &amp; Baseline'!$B$7)))/(G23*'Inputs &amp; Baseline'!$B$9*SIN(RADIANS('Inputs &amp; Baseline'!$B$10))*COS(RADIANS('Inputs &amp; Baseline'!$B$10)))</f>
        <v>1.17839587812363</v>
      </c>
      <c r="J23" s="0" t="n">
        <v>20.75</v>
      </c>
      <c r="K23" s="12" t="n">
        <f aca="false">('Inputs &amp; Baseline'!$B$6+('Inputs &amp; Baseline'!$B$8*J23*COS(RADIANS('Inputs &amp; Baseline'!$B$10))^2-'Inputs &amp; Baseline'!$B$11*'Inputs &amp; Baseline'!$B$8*J23)*TAN(RADIANS('Inputs &amp; Baseline'!$B$7)))/('Inputs &amp; Baseline'!$B$8*J23*SIN(RADIANS('Inputs &amp; Baseline'!$B$10))*COS(RADIANS('Inputs &amp; Baseline'!$B$10)))</f>
        <v>1.15071445647122</v>
      </c>
      <c r="M23" s="0" t="n">
        <v>31</v>
      </c>
      <c r="N23" s="12" t="n">
        <f aca="false">('Inputs &amp; Baseline'!$B$6+('Inputs &amp; Baseline'!$B$8*'Inputs &amp; Baseline'!$B$9*COS(RADIANS(M23))^2-'Inputs &amp; Baseline'!$B$11*'Inputs &amp; Baseline'!$B$8*'Inputs &amp; Baseline'!$B$9)*TAN(RADIANS('Inputs &amp; Baseline'!$B$7)))/('Inputs &amp; Baseline'!$B$8*'Inputs &amp; Baseline'!$B$9*SIN(RADIANS(M23))*COS(RADIANS(M23)))</f>
        <v>1.04068781818558</v>
      </c>
      <c r="P23" s="0" t="n">
        <v>0.2625</v>
      </c>
      <c r="Q23" s="12" t="n">
        <f aca="false">('Inputs &amp; Baseline'!$B$6+('Inputs &amp; Baseline'!$B$8*'Inputs &amp; Baseline'!$B$9*COS(RADIANS('Inputs &amp; Baseline'!$B$10))^2-P23*'Inputs &amp; Baseline'!$B$8*'Inputs &amp; Baseline'!$B$9)*TAN(RADIANS('Inputs &amp; Baseline'!$B$7)))/('Inputs &amp; Baseline'!$B$8*'Inputs &amp; Baseline'!$B$9*SIN(RADIANS('Inputs &amp; Baseline'!$B$10))*COS(RADIANS('Inputs &amp; Baseline'!$B$10)))</f>
        <v>0.994104120556595</v>
      </c>
    </row>
    <row r="24" customFormat="false" ht="15" hidden="false" customHeight="false" outlineLevel="0" collapsed="false">
      <c r="A24" s="0" t="n">
        <v>20.8333</v>
      </c>
      <c r="B24" s="12" t="n">
        <f aca="false">(A24+('Inputs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1.23104798084323</v>
      </c>
      <c r="D24" s="0" t="n">
        <v>37.5</v>
      </c>
      <c r="E24" s="12" t="n">
        <f aca="false">('Inputs &amp; Baseline'!$B$6+('Inputs &amp; Baseline'!$B$8*'Inputs &amp; Baseline'!$B$9*COS(RADIANS('Inputs &amp; Baseline'!$B$10))^2-'Inputs &amp; Baseline'!$B$11*'Inputs &amp; Baseline'!$B$8*'Inputs &amp; Baseline'!$B$9)*TAN(RADIANS(D24)))/('Inputs &amp; Baseline'!$B$8*'Inputs &amp; Baseline'!$B$9*SIN(RADIANS('Inputs &amp; Baseline'!$B$10))*COS(RADIANS('Inputs &amp; Baseline'!$B$10)))</f>
        <v>1.28608489313541</v>
      </c>
      <c r="G24" s="0" t="n">
        <v>21.1667</v>
      </c>
      <c r="H24" s="12" t="n">
        <f aca="false">('Inputs &amp; Baseline'!$B$6+(G24*'Inputs &amp; Baseline'!$B$9*COS(RADIANS('Inputs &amp; Baseline'!$B$10))^2-'Inputs &amp; Baseline'!$B$11*G24*'Inputs &amp; Baseline'!$B$9)*TAN(RADIANS('Inputs &amp; Baseline'!$B$7)))/(G24*'Inputs &amp; Baseline'!$B$9*SIN(RADIANS('Inputs &amp; Baseline'!$B$10))*COS(RADIANS('Inputs &amp; Baseline'!$B$10)))</f>
        <v>1.17749114824575</v>
      </c>
      <c r="J24" s="0" t="n">
        <v>21.4583</v>
      </c>
      <c r="K24" s="12" t="n">
        <f aca="false">('Inputs &amp; Baseline'!$B$6+('Inputs &amp; Baseline'!$B$8*J24*COS(RADIANS('Inputs &amp; Baseline'!$B$10))^2-'Inputs &amp; Baseline'!$B$11*'Inputs &amp; Baseline'!$B$8*J24)*TAN(RADIANS('Inputs &amp; Baseline'!$B$7)))/('Inputs &amp; Baseline'!$B$8*J24*SIN(RADIANS('Inputs &amp; Baseline'!$B$10))*COS(RADIANS('Inputs &amp; Baseline'!$B$10)))</f>
        <v>1.14783625710255</v>
      </c>
      <c r="M24" s="0" t="n">
        <v>31.5</v>
      </c>
      <c r="N24" s="12" t="n">
        <f aca="false">('Inputs &amp; Baseline'!$B$6+('Inputs &amp; Baseline'!$B$8*'Inputs &amp; Baseline'!$B$9*COS(RADIANS(M24))^2-'Inputs &amp; Baseline'!$B$11*'Inputs &amp; Baseline'!$B$8*'Inputs &amp; Baseline'!$B$9)*TAN(RADIANS('Inputs &amp; Baseline'!$B$7)))/('Inputs &amp; Baseline'!$B$8*'Inputs &amp; Baseline'!$B$9*SIN(RADIANS(M24))*COS(RADIANS(M24)))</f>
        <v>1.01910908875461</v>
      </c>
      <c r="P24" s="0" t="n">
        <v>0.2771</v>
      </c>
      <c r="Q24" s="12" t="n">
        <f aca="false">('Inputs &amp; Baseline'!$B$6+('Inputs &amp; Baseline'!$B$8*'Inputs &amp; Baseline'!$B$9*COS(RADIANS('Inputs &amp; Baseline'!$B$10))^2-P24*'Inputs &amp; Baseline'!$B$8*'Inputs &amp; Baseline'!$B$9)*TAN(RADIANS('Inputs &amp; Baseline'!$B$7)))/('Inputs &amp; Baseline'!$B$8*'Inputs &amp; Baseline'!$B$9*SIN(RADIANS('Inputs &amp; Baseline'!$B$10))*COS(RADIANS('Inputs &amp; Baseline'!$B$10)))</f>
        <v>0.969441715868819</v>
      </c>
    </row>
    <row r="25" customFormat="false" ht="15" hidden="false" customHeight="false" outlineLevel="0" collapsed="false">
      <c r="A25" s="0" t="n">
        <v>21.6667</v>
      </c>
      <c r="B25" s="12" t="n">
        <f aca="false">(A25+('Inputs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1.23774972776512</v>
      </c>
      <c r="D25" s="0" t="n">
        <v>38</v>
      </c>
      <c r="E25" s="12" t="n">
        <f aca="false">('Inputs &amp; Baseline'!$B$6+('Inputs &amp; Baseline'!$B$8*'Inputs &amp; Baseline'!$B$9*COS(RADIANS('Inputs &amp; Baseline'!$B$10))^2-'Inputs &amp; Baseline'!$B$11*'Inputs &amp; Baseline'!$B$8*'Inputs &amp; Baseline'!$B$9)*TAN(RADIANS(D25)))/('Inputs &amp; Baseline'!$B$8*'Inputs &amp; Baseline'!$B$9*SIN(RADIANS('Inputs &amp; Baseline'!$B$10))*COS(RADIANS('Inputs &amp; Baseline'!$B$10)))</f>
        <v>1.30728612593611</v>
      </c>
      <c r="G25" s="0" t="n">
        <v>21.3333</v>
      </c>
      <c r="H25" s="12" t="n">
        <f aca="false">('Inputs &amp; Baseline'!$B$6+(G25*'Inputs &amp; Baseline'!$B$9*COS(RADIANS('Inputs &amp; Baseline'!$B$10))^2-'Inputs &amp; Baseline'!$B$11*G25*'Inputs &amp; Baseline'!$B$9)*TAN(RADIANS('Inputs &amp; Baseline'!$B$7)))/(G25*'Inputs &amp; Baseline'!$B$9*SIN(RADIANS('Inputs &amp; Baseline'!$B$10))*COS(RADIANS('Inputs &amp; Baseline'!$B$10)))</f>
        <v>1.17660108763072</v>
      </c>
      <c r="J25" s="0" t="n">
        <v>22.1667</v>
      </c>
      <c r="K25" s="12" t="n">
        <f aca="false">('Inputs &amp; Baseline'!$B$6+('Inputs &amp; Baseline'!$B$8*J25*COS(RADIANS('Inputs &amp; Baseline'!$B$10))^2-'Inputs &amp; Baseline'!$B$11*'Inputs &amp; Baseline'!$B$8*J25)*TAN(RADIANS('Inputs &amp; Baseline'!$B$7)))/('Inputs &amp; Baseline'!$B$8*J25*SIN(RADIANS('Inputs &amp; Baseline'!$B$10))*COS(RADIANS('Inputs &amp; Baseline'!$B$10)))</f>
        <v>1.14514162647518</v>
      </c>
      <c r="M25" s="0" t="n">
        <v>32</v>
      </c>
      <c r="N25" s="12" t="n">
        <f aca="false">('Inputs &amp; Baseline'!$B$6+('Inputs &amp; Baseline'!$B$8*'Inputs &amp; Baseline'!$B$9*COS(RADIANS(M25))^2-'Inputs &amp; Baseline'!$B$11*'Inputs &amp; Baseline'!$B$8*'Inputs &amp; Baseline'!$B$9)*TAN(RADIANS('Inputs &amp; Baseline'!$B$7)))/('Inputs &amp; Baseline'!$B$8*'Inputs &amp; Baseline'!$B$9*SIN(RADIANS(M25))*COS(RADIANS(M25)))</f>
        <v>0.998110815215105</v>
      </c>
      <c r="P25" s="0" t="n">
        <v>0.2917</v>
      </c>
      <c r="Q25" s="12" t="n">
        <f aca="false">('Inputs &amp; Baseline'!$B$6+('Inputs &amp; Baseline'!$B$8*'Inputs &amp; Baseline'!$B$9*COS(RADIANS('Inputs &amp; Baseline'!$B$10))^2-P25*'Inputs &amp; Baseline'!$B$8*'Inputs &amp; Baseline'!$B$9)*TAN(RADIANS('Inputs &amp; Baseline'!$B$7)))/('Inputs &amp; Baseline'!$B$8*'Inputs &amp; Baseline'!$B$9*SIN(RADIANS('Inputs &amp; Baseline'!$B$10))*COS(RADIANS('Inputs &amp; Baseline'!$B$10)))</f>
        <v>0.944779311181044</v>
      </c>
    </row>
    <row r="26" customFormat="false" ht="15" hidden="false" customHeight="false" outlineLevel="0" collapsed="false">
      <c r="A26" s="0" t="n">
        <v>22.5</v>
      </c>
      <c r="B26" s="12" t="n">
        <f aca="false">(A26+('Inputs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1.2444506705417</v>
      </c>
      <c r="D26" s="0" t="n">
        <v>38.5</v>
      </c>
      <c r="E26" s="12" t="n">
        <f aca="false">('Inputs &amp; Baseline'!$B$6+('Inputs &amp; Baseline'!$B$8*'Inputs &amp; Baseline'!$B$9*COS(RADIANS('Inputs &amp; Baseline'!$B$10))^2-'Inputs &amp; Baseline'!$B$11*'Inputs &amp; Baseline'!$B$8*'Inputs &amp; Baseline'!$B$9)*TAN(RADIANS(D26)))/('Inputs &amp; Baseline'!$B$8*'Inputs &amp; Baseline'!$B$9*SIN(RADIANS('Inputs &amp; Baseline'!$B$10))*COS(RADIANS('Inputs &amp; Baseline'!$B$10)))</f>
        <v>1.32877845094378</v>
      </c>
      <c r="G26" s="0" t="n">
        <v>21.5</v>
      </c>
      <c r="H26" s="12" t="n">
        <f aca="false">('Inputs &amp; Baseline'!$B$6+(G26*'Inputs &amp; Baseline'!$B$9*COS(RADIANS('Inputs &amp; Baseline'!$B$10))^2-'Inputs &amp; Baseline'!$B$11*G26*'Inputs &amp; Baseline'!$B$9)*TAN(RADIANS('Inputs &amp; Baseline'!$B$7)))/(G26*'Inputs &amp; Baseline'!$B$9*SIN(RADIANS('Inputs &amp; Baseline'!$B$10))*COS(RADIANS('Inputs &amp; Baseline'!$B$10)))</f>
        <v>1.17572429905718</v>
      </c>
      <c r="J26" s="0" t="n">
        <v>22.875</v>
      </c>
      <c r="K26" s="12" t="n">
        <f aca="false">('Inputs &amp; Baseline'!$B$6+('Inputs &amp; Baseline'!$B$8*J26*COS(RADIANS('Inputs &amp; Baseline'!$B$10))^2-'Inputs &amp; Baseline'!$B$11*'Inputs &amp; Baseline'!$B$8*J26)*TAN(RADIANS('Inputs &amp; Baseline'!$B$7)))/('Inputs &amp; Baseline'!$B$8*J26*SIN(RADIANS('Inputs &amp; Baseline'!$B$10))*COS(RADIANS('Inputs &amp; Baseline'!$B$10)))</f>
        <v>1.14261423718441</v>
      </c>
      <c r="M26" s="0" t="n">
        <v>32.5</v>
      </c>
      <c r="N26" s="12" t="n">
        <f aca="false">('Inputs &amp; Baseline'!$B$6+('Inputs &amp; Baseline'!$B$8*'Inputs &amp; Baseline'!$B$9*COS(RADIANS(M26))^2-'Inputs &amp; Baseline'!$B$11*'Inputs &amp; Baseline'!$B$8*'Inputs &amp; Baseline'!$B$9)*TAN(RADIANS('Inputs &amp; Baseline'!$B$7)))/('Inputs &amp; Baseline'!$B$8*'Inputs &amp; Baseline'!$B$9*SIN(RADIANS(M26))*COS(RADIANS(M26)))</f>
        <v>0.977665404707471</v>
      </c>
      <c r="P26" s="0" t="n">
        <v>0.3062</v>
      </c>
      <c r="Q26" s="12" t="n">
        <f aca="false">('Inputs &amp; Baseline'!$B$6+('Inputs &amp; Baseline'!$B$8*'Inputs &amp; Baseline'!$B$9*COS(RADIANS('Inputs &amp; Baseline'!$B$10))^2-P26*'Inputs &amp; Baseline'!$B$8*'Inputs &amp; Baseline'!$B$9)*TAN(RADIANS('Inputs &amp; Baseline'!$B$7)))/('Inputs &amp; Baseline'!$B$8*'Inputs &amp; Baseline'!$B$9*SIN(RADIANS('Inputs &amp; Baseline'!$B$10))*COS(RADIANS('Inputs &amp; Baseline'!$B$10)))</f>
        <v>0.920285827073321</v>
      </c>
    </row>
    <row r="27" customFormat="false" ht="15" hidden="false" customHeight="false" outlineLevel="0" collapsed="false">
      <c r="A27" s="0" t="n">
        <v>23.3333</v>
      </c>
      <c r="B27" s="12" t="n">
        <f aca="false">(A27+('Inputs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1.25115161331829</v>
      </c>
      <c r="D27" s="0" t="n">
        <v>39</v>
      </c>
      <c r="E27" s="12" t="n">
        <f aca="false">('Inputs &amp; Baseline'!$B$6+('Inputs &amp; Baseline'!$B$8*'Inputs &amp; Baseline'!$B$9*COS(RADIANS('Inputs &amp; Baseline'!$B$10))^2-'Inputs &amp; Baseline'!$B$11*'Inputs &amp; Baseline'!$B$8*'Inputs &amp; Baseline'!$B$9)*TAN(RADIANS(D27)))/('Inputs &amp; Baseline'!$B$8*'Inputs &amp; Baseline'!$B$9*SIN(RADIANS('Inputs &amp; Baseline'!$B$10))*COS(RADIANS('Inputs &amp; Baseline'!$B$10)))</f>
        <v>1.35057124671962</v>
      </c>
      <c r="G27" s="0" t="n">
        <v>21.6667</v>
      </c>
      <c r="H27" s="12" t="n">
        <f aca="false">('Inputs &amp; Baseline'!$B$6+(G27*'Inputs &amp; Baseline'!$B$9*COS(RADIANS('Inputs &amp; Baseline'!$B$10))^2-'Inputs &amp; Baseline'!$B$11*G27*'Inputs &amp; Baseline'!$B$9)*TAN(RADIANS('Inputs &amp; Baseline'!$B$7)))/(G27*'Inputs &amp; Baseline'!$B$9*SIN(RADIANS('Inputs &amp; Baseline'!$B$10))*COS(RADIANS('Inputs &amp; Baseline'!$B$10)))</f>
        <v>1.17486100221567</v>
      </c>
      <c r="J27" s="0" t="n">
        <v>23.5833</v>
      </c>
      <c r="K27" s="12" t="n">
        <f aca="false">('Inputs &amp; Baseline'!$B$6+('Inputs &amp; Baseline'!$B$8*J27*COS(RADIANS('Inputs &amp; Baseline'!$B$10))^2-'Inputs &amp; Baseline'!$B$11*'Inputs &amp; Baseline'!$B$8*J27)*TAN(RADIANS('Inputs &amp; Baseline'!$B$7)))/('Inputs &amp; Baseline'!$B$8*J27*SIN(RADIANS('Inputs &amp; Baseline'!$B$10))*COS(RADIANS('Inputs &amp; Baseline'!$B$10)))</f>
        <v>1.14023866293518</v>
      </c>
      <c r="M27" s="0" t="n">
        <v>33</v>
      </c>
      <c r="N27" s="12" t="n">
        <f aca="false">('Inputs &amp; Baseline'!$B$6+('Inputs &amp; Baseline'!$B$8*'Inputs &amp; Baseline'!$B$9*COS(RADIANS(M27))^2-'Inputs &amp; Baseline'!$B$11*'Inputs &amp; Baseline'!$B$8*'Inputs &amp; Baseline'!$B$9)*TAN(RADIANS('Inputs &amp; Baseline'!$B$7)))/('Inputs &amp; Baseline'!$B$8*'Inputs &amp; Baseline'!$B$9*SIN(RADIANS(M27))*COS(RADIANS(M27)))</f>
        <v>0.95774691119627</v>
      </c>
      <c r="P27" s="0" t="n">
        <v>0.3208</v>
      </c>
      <c r="Q27" s="12" t="n">
        <f aca="false">('Inputs &amp; Baseline'!$B$6+('Inputs &amp; Baseline'!$B$8*'Inputs &amp; Baseline'!$B$9*COS(RADIANS('Inputs &amp; Baseline'!$B$10))^2-P27*'Inputs &amp; Baseline'!$B$8*'Inputs &amp; Baseline'!$B$9)*TAN(RADIANS('Inputs &amp; Baseline'!$B$7)))/('Inputs &amp; Baseline'!$B$8*'Inputs &amp; Baseline'!$B$9*SIN(RADIANS('Inputs &amp; Baseline'!$B$10))*COS(RADIANS('Inputs &amp; Baseline'!$B$10)))</f>
        <v>0.895623422385546</v>
      </c>
    </row>
    <row r="28" customFormat="false" ht="15" hidden="false" customHeight="false" outlineLevel="0" collapsed="false">
      <c r="A28" s="0" t="n">
        <v>24.1667</v>
      </c>
      <c r="B28" s="12" t="n">
        <f aca="false">(A28+('Inputs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1.25785336024018</v>
      </c>
      <c r="D28" s="0" t="n">
        <v>39.5</v>
      </c>
      <c r="E28" s="12" t="n">
        <f aca="false">('Inputs &amp; Baseline'!$B$6+('Inputs &amp; Baseline'!$B$8*'Inputs &amp; Baseline'!$B$9*COS(RADIANS('Inputs &amp; Baseline'!$B$10))^2-'Inputs &amp; Baseline'!$B$11*'Inputs &amp; Baseline'!$B$8*'Inputs &amp; Baseline'!$B$9)*TAN(RADIANS(D28)))/('Inputs &amp; Baseline'!$B$8*'Inputs &amp; Baseline'!$B$9*SIN(RADIANS('Inputs &amp; Baseline'!$B$10))*COS(RADIANS('Inputs &amp; Baseline'!$B$10)))</f>
        <v>1.37267424875193</v>
      </c>
      <c r="G28" s="0" t="n">
        <v>21.8333</v>
      </c>
      <c r="H28" s="12" t="n">
        <f aca="false">('Inputs &amp; Baseline'!$B$6+(G28*'Inputs &amp; Baseline'!$B$9*COS(RADIANS('Inputs &amp; Baseline'!$B$10))^2-'Inputs &amp; Baseline'!$B$11*G28*'Inputs &amp; Baseline'!$B$9)*TAN(RADIANS('Inputs &amp; Baseline'!$B$7)))/(G28*'Inputs &amp; Baseline'!$B$9*SIN(RADIANS('Inputs &amp; Baseline'!$B$10))*COS(RADIANS('Inputs &amp; Baseline'!$B$10)))</f>
        <v>1.17401139414955</v>
      </c>
      <c r="J28" s="0" t="n">
        <v>24.2917</v>
      </c>
      <c r="K28" s="12" t="n">
        <f aca="false">('Inputs &amp; Baseline'!$B$6+('Inputs &amp; Baseline'!$B$8*J28*COS(RADIANS('Inputs &amp; Baseline'!$B$10))^2-'Inputs &amp; Baseline'!$B$11*'Inputs &amp; Baseline'!$B$8*J28)*TAN(RADIANS('Inputs &amp; Baseline'!$B$7)))/('Inputs &amp; Baseline'!$B$8*J28*SIN(RADIANS('Inputs &amp; Baseline'!$B$10))*COS(RADIANS('Inputs &amp; Baseline'!$B$10)))</f>
        <v>1.13800131713313</v>
      </c>
      <c r="M28" s="0" t="n">
        <v>33.5</v>
      </c>
      <c r="N28" s="12" t="n">
        <f aca="false">('Inputs &amp; Baseline'!$B$6+('Inputs &amp; Baseline'!$B$8*'Inputs &amp; Baseline'!$B$9*COS(RADIANS(M28))^2-'Inputs &amp; Baseline'!$B$11*'Inputs &amp; Baseline'!$B$8*'Inputs &amp; Baseline'!$B$9)*TAN(RADIANS('Inputs &amp; Baseline'!$B$7)))/('Inputs &amp; Baseline'!$B$8*'Inputs &amp; Baseline'!$B$9*SIN(RADIANS(M28))*COS(RADIANS(M28)))</f>
        <v>0.938330911660749</v>
      </c>
      <c r="P28" s="0" t="n">
        <v>0.3354</v>
      </c>
      <c r="Q28" s="12" t="n">
        <f aca="false">('Inputs &amp; Baseline'!$B$6+('Inputs &amp; Baseline'!$B$8*'Inputs &amp; Baseline'!$B$9*COS(RADIANS('Inputs &amp; Baseline'!$B$10))^2-P28*'Inputs &amp; Baseline'!$B$8*'Inputs &amp; Baseline'!$B$9)*TAN(RADIANS('Inputs &amp; Baseline'!$B$7)))/('Inputs &amp; Baseline'!$B$8*'Inputs &amp; Baseline'!$B$9*SIN(RADIANS('Inputs &amp; Baseline'!$B$10))*COS(RADIANS('Inputs &amp; Baseline'!$B$10)))</f>
        <v>0.87096101769777</v>
      </c>
    </row>
    <row r="29" customFormat="false" ht="15" hidden="false" customHeight="false" outlineLevel="0" collapsed="false">
      <c r="A29" s="0" t="n">
        <v>25</v>
      </c>
      <c r="B29" s="12" t="n">
        <f aca="false">(A29+('Inputs &amp; Baseline'!$B$8*'Inputs &amp; Baseline'!$B$9*COS(RADIANS('Inputs &amp; Baseline'!$B$10))^2-'Inputs &amp; Baseline'!$B$11*'Inputs &amp; Baseline'!$B$8*'Inputs &amp; Baseline'!$B$9)*TAN(RADIANS('Inputs &amp; Baseline'!$B$7)))/('Inputs &amp; Baseline'!$B$8*'Inputs &amp; Baseline'!$B$9*SIN(RADIANS('Inputs &amp; Baseline'!$B$10))*COS(RADIANS('Inputs &amp; Baseline'!$B$10)))</f>
        <v>1.26455430301677</v>
      </c>
      <c r="D29" s="0" t="n">
        <v>40</v>
      </c>
      <c r="E29" s="12" t="n">
        <f aca="false">('Inputs &amp; Baseline'!$B$6+('Inputs &amp; Baseline'!$B$8*'Inputs &amp; Baseline'!$B$9*COS(RADIANS('Inputs &amp; Baseline'!$B$10))^2-'Inputs &amp; Baseline'!$B$11*'Inputs &amp; Baseline'!$B$8*'Inputs &amp; Baseline'!$B$9)*TAN(RADIANS(D29)))/('Inputs &amp; Baseline'!$B$8*'Inputs &amp; Baseline'!$B$9*SIN(RADIANS('Inputs &amp; Baseline'!$B$10))*COS(RADIANS('Inputs &amp; Baseline'!$B$10)))</f>
        <v>1.39509756755513</v>
      </c>
      <c r="G29" s="0" t="n">
        <v>22</v>
      </c>
      <c r="H29" s="12" t="n">
        <f aca="false">('Inputs &amp; Baseline'!$B$6+(G29*'Inputs &amp; Baseline'!$B$9*COS(RADIANS('Inputs &amp; Baseline'!$B$10))^2-'Inputs &amp; Baseline'!$B$11*G29*'Inputs &amp; Baseline'!$B$9)*TAN(RADIANS('Inputs &amp; Baseline'!$B$7)))/(G29*'Inputs &amp; Baseline'!$B$9*SIN(RADIANS('Inputs &amp; Baseline'!$B$10))*COS(RADIANS('Inputs &amp; Baseline'!$B$10)))</f>
        <v>1.17317415540284</v>
      </c>
      <c r="J29" s="0" t="n">
        <v>25</v>
      </c>
      <c r="K29" s="12" t="n">
        <f aca="false">('Inputs &amp; Baseline'!$B$6+('Inputs &amp; Baseline'!$B$8*J29*COS(RADIANS('Inputs &amp; Baseline'!$B$10))^2-'Inputs &amp; Baseline'!$B$11*'Inputs &amp; Baseline'!$B$8*J29)*TAN(RADIANS('Inputs &amp; Baseline'!$B$7)))/('Inputs &amp; Baseline'!$B$8*J29*SIN(RADIANS('Inputs &amp; Baseline'!$B$10))*COS(RADIANS('Inputs &amp; Baseline'!$B$10)))</f>
        <v>1.13589105517635</v>
      </c>
      <c r="M29" s="0" t="n">
        <v>34</v>
      </c>
      <c r="N29" s="12" t="n">
        <f aca="false">('Inputs &amp; Baseline'!$B$6+('Inputs &amp; Baseline'!$B$8*'Inputs &amp; Baseline'!$B$9*COS(RADIANS(M29))^2-'Inputs &amp; Baseline'!$B$11*'Inputs &amp; Baseline'!$B$8*'Inputs &amp; Baseline'!$B$9)*TAN(RADIANS('Inputs &amp; Baseline'!$B$7)))/('Inputs &amp; Baseline'!$B$8*'Inputs &amp; Baseline'!$B$9*SIN(RADIANS(M29))*COS(RADIANS(M29)))</f>
        <v>0.919394393162693</v>
      </c>
      <c r="P29" s="0" t="n">
        <v>0.35</v>
      </c>
      <c r="Q29" s="12" t="n">
        <f aca="false">('Inputs &amp; Baseline'!$B$6+('Inputs &amp; Baseline'!$B$8*'Inputs &amp; Baseline'!$B$9*COS(RADIANS('Inputs &amp; Baseline'!$B$10))^2-P29*'Inputs &amp; Baseline'!$B$8*'Inputs &amp; Baseline'!$B$9)*TAN(RADIANS('Inputs &amp; Baseline'!$B$7)))/('Inputs &amp; Baseline'!$B$8*'Inputs &amp; Baseline'!$B$9*SIN(RADIANS('Inputs &amp; Baseline'!$B$10))*COS(RADIANS('Inputs &amp; Baseline'!$B$10)))</f>
        <v>0.846298613009995</v>
      </c>
    </row>
    <row r="33" customFormat="false" ht="15" hidden="false" customHeight="false" outlineLevel="0" collapsed="false">
      <c r="A33" s="3" t="s">
        <v>36</v>
      </c>
    </row>
    <row r="34" customFormat="false" ht="28.35" hidden="false" customHeight="false" outlineLevel="0" collapsed="false">
      <c r="A34" s="4" t="s">
        <v>3</v>
      </c>
      <c r="B34" s="4" t="s">
        <v>37</v>
      </c>
      <c r="C34" s="4" t="s">
        <v>38</v>
      </c>
      <c r="D34" s="4" t="s">
        <v>39</v>
      </c>
      <c r="E34" s="4" t="s">
        <v>40</v>
      </c>
      <c r="F34" s="4" t="s">
        <v>41</v>
      </c>
      <c r="G34" s="4" t="s">
        <v>42</v>
      </c>
    </row>
    <row r="35" customFormat="false" ht="15" hidden="false" customHeight="false" outlineLevel="0" collapsed="false">
      <c r="A35" s="0" t="s">
        <v>34</v>
      </c>
      <c r="B35" s="0" t="n">
        <v>22</v>
      </c>
      <c r="C35" s="0" t="n">
        <v>34</v>
      </c>
      <c r="D35" s="0" t="n">
        <v>1.575</v>
      </c>
      <c r="E35" s="0" t="n">
        <v>0.919</v>
      </c>
      <c r="F35" s="0" t="n">
        <v>1.184</v>
      </c>
      <c r="G35" s="0" t="n">
        <v>0.655</v>
      </c>
    </row>
    <row r="36" customFormat="false" ht="15" hidden="false" customHeight="false" outlineLevel="0" collapsed="false">
      <c r="A36" s="0" t="s">
        <v>21</v>
      </c>
      <c r="B36" s="0" t="n">
        <v>0</v>
      </c>
      <c r="C36" s="0" t="n">
        <v>0.35</v>
      </c>
      <c r="D36" s="0" t="n">
        <v>1.438</v>
      </c>
      <c r="E36" s="0" t="n">
        <v>0.846</v>
      </c>
      <c r="F36" s="0" t="n">
        <v>1.184</v>
      </c>
      <c r="G36" s="0" t="n">
        <v>0.591</v>
      </c>
    </row>
    <row r="37" customFormat="false" ht="15" hidden="false" customHeight="false" outlineLevel="0" collapsed="false">
      <c r="A37" s="0" t="s">
        <v>31</v>
      </c>
      <c r="B37" s="0" t="n">
        <v>28</v>
      </c>
      <c r="C37" s="0" t="n">
        <v>40</v>
      </c>
      <c r="D37" s="0" t="n">
        <v>0.928</v>
      </c>
      <c r="E37" s="0" t="n">
        <v>1.395</v>
      </c>
      <c r="F37" s="0" t="n">
        <v>1.184</v>
      </c>
      <c r="G37" s="0" t="n">
        <v>0.467</v>
      </c>
    </row>
    <row r="38" customFormat="false" ht="15" hidden="false" customHeight="false" outlineLevel="0" collapsed="false">
      <c r="A38" s="0" t="s">
        <v>30</v>
      </c>
      <c r="B38" s="0" t="n">
        <v>5</v>
      </c>
      <c r="C38" s="0" t="n">
        <v>25</v>
      </c>
      <c r="D38" s="0" t="n">
        <v>1.104</v>
      </c>
      <c r="E38" s="0" t="n">
        <v>1.265</v>
      </c>
      <c r="F38" s="0" t="n">
        <v>1.184</v>
      </c>
      <c r="G38" s="0" t="n">
        <v>0.161</v>
      </c>
    </row>
    <row r="39" customFormat="false" ht="15" hidden="false" customHeight="false" outlineLevel="0" collapsed="false">
      <c r="A39" s="0" t="s">
        <v>33</v>
      </c>
      <c r="B39" s="0" t="n">
        <v>8</v>
      </c>
      <c r="C39" s="0" t="n">
        <v>25</v>
      </c>
      <c r="D39" s="0" t="n">
        <v>1.29</v>
      </c>
      <c r="E39" s="0" t="n">
        <v>1.136</v>
      </c>
      <c r="F39" s="0" t="n">
        <v>1.184</v>
      </c>
      <c r="G39" s="0" t="n">
        <v>0.154</v>
      </c>
    </row>
    <row r="40" customFormat="false" ht="15" hidden="false" customHeight="false" outlineLevel="0" collapsed="false">
      <c r="A40" s="0" t="s">
        <v>32</v>
      </c>
      <c r="B40" s="0" t="n">
        <v>18</v>
      </c>
      <c r="C40" s="0" t="n">
        <v>22</v>
      </c>
      <c r="D40" s="0" t="n">
        <v>1.198</v>
      </c>
      <c r="E40" s="0" t="n">
        <v>1.173</v>
      </c>
      <c r="F40" s="0" t="n">
        <v>1.184</v>
      </c>
      <c r="G40" s="0" t="n">
        <v>0.024</v>
      </c>
    </row>
    <row r="44" customFormat="false" ht="15" hidden="false" customHeight="false" outlineLevel="0" collapsed="false">
      <c r="A44" s="3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2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0" t="s">
        <v>44</v>
      </c>
    </row>
    <row r="3" customFormat="false" ht="15" hidden="false" customHeight="false" outlineLevel="0" collapsed="false">
      <c r="A3" s="3" t="s">
        <v>45</v>
      </c>
    </row>
    <row r="4" customFormat="false" ht="28.35" hidden="false" customHeight="false" outlineLevel="0" collapsed="false">
      <c r="A4" s="4" t="s">
        <v>3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</row>
    <row r="5" customFormat="false" ht="15" hidden="false" customHeight="false" outlineLevel="0" collapsed="false">
      <c r="A5" s="0" t="s">
        <v>30</v>
      </c>
      <c r="B5" s="0" t="s">
        <v>51</v>
      </c>
      <c r="C5" s="0" t="n">
        <v>15</v>
      </c>
      <c r="D5" s="0" t="n">
        <v>4</v>
      </c>
      <c r="E5" s="0" t="n">
        <v>0</v>
      </c>
    </row>
    <row r="6" customFormat="false" ht="15" hidden="false" customHeight="false" outlineLevel="0" collapsed="false">
      <c r="A6" s="0" t="s">
        <v>31</v>
      </c>
      <c r="B6" s="0" t="s">
        <v>51</v>
      </c>
      <c r="C6" s="0" t="n">
        <v>35</v>
      </c>
      <c r="D6" s="0" t="n">
        <v>3</v>
      </c>
      <c r="E6" s="0" t="n">
        <v>20</v>
      </c>
      <c r="F6" s="0" t="n">
        <v>45</v>
      </c>
    </row>
    <row r="7" customFormat="false" ht="15" hidden="false" customHeight="false" outlineLevel="0" collapsed="false">
      <c r="A7" s="0" t="s">
        <v>32</v>
      </c>
      <c r="B7" s="0" t="s">
        <v>51</v>
      </c>
      <c r="C7" s="0" t="n">
        <v>20</v>
      </c>
      <c r="D7" s="0" t="n">
        <v>1</v>
      </c>
      <c r="E7" s="0" t="n">
        <v>16</v>
      </c>
      <c r="F7" s="0" t="n">
        <v>24</v>
      </c>
    </row>
    <row r="8" customFormat="false" ht="15" hidden="false" customHeight="false" outlineLevel="0" collapsed="false">
      <c r="A8" s="0" t="s">
        <v>33</v>
      </c>
      <c r="B8" s="0" t="s">
        <v>51</v>
      </c>
      <c r="C8" s="0" t="n">
        <v>15</v>
      </c>
      <c r="D8" s="0" t="n">
        <v>3</v>
      </c>
      <c r="E8" s="0" t="n">
        <v>5</v>
      </c>
      <c r="F8" s="0" t="n">
        <v>30</v>
      </c>
    </row>
    <row r="9" customFormat="false" ht="15" hidden="false" customHeight="false" outlineLevel="0" collapsed="false">
      <c r="A9" s="0" t="s">
        <v>34</v>
      </c>
      <c r="B9" s="0" t="s">
        <v>51</v>
      </c>
      <c r="C9" s="0" t="n">
        <v>28</v>
      </c>
      <c r="D9" s="0" t="n">
        <v>2</v>
      </c>
      <c r="E9" s="0" t="n">
        <v>18</v>
      </c>
      <c r="F9" s="0" t="n">
        <v>37</v>
      </c>
    </row>
    <row r="10" customFormat="false" ht="15" hidden="false" customHeight="false" outlineLevel="0" collapsed="false">
      <c r="A10" s="0" t="s">
        <v>21</v>
      </c>
      <c r="B10" s="0" t="s">
        <v>51</v>
      </c>
      <c r="C10" s="0" t="n">
        <v>0.15</v>
      </c>
      <c r="D10" s="0" t="n">
        <v>0.08</v>
      </c>
      <c r="E10" s="0" t="n">
        <v>0</v>
      </c>
      <c r="F10" s="0" t="n">
        <v>0.5</v>
      </c>
    </row>
    <row r="12" customFormat="false" ht="15" hidden="false" customHeight="false" outlineLevel="0" collapsed="false">
      <c r="A12" s="13" t="s">
        <v>52</v>
      </c>
      <c r="B12" s="13"/>
      <c r="C12" s="13"/>
      <c r="D12" s="13"/>
      <c r="E12" s="13"/>
      <c r="F12" s="13"/>
    </row>
    <row r="13" customFormat="false" ht="15" hidden="false" customHeight="false" outlineLevel="0" collapsed="false">
      <c r="A13" s="0" t="s">
        <v>53</v>
      </c>
      <c r="B13" s="0" t="n">
        <v>1.2006</v>
      </c>
    </row>
    <row r="14" customFormat="false" ht="15" hidden="false" customHeight="false" outlineLevel="0" collapsed="false">
      <c r="A14" s="0" t="s">
        <v>54</v>
      </c>
      <c r="B14" s="0" t="n">
        <v>0.2143</v>
      </c>
    </row>
    <row r="15" customFormat="false" ht="15" hidden="false" customHeight="false" outlineLevel="0" collapsed="false">
      <c r="A15" s="0" t="s">
        <v>55</v>
      </c>
      <c r="B15" s="0" t="n">
        <v>0.4379</v>
      </c>
    </row>
    <row r="16" customFormat="false" ht="15" hidden="false" customHeight="false" outlineLevel="0" collapsed="false">
      <c r="A16" s="0" t="s">
        <v>56</v>
      </c>
      <c r="B16" s="0" t="n">
        <v>2.5374</v>
      </c>
    </row>
    <row r="17" customFormat="false" ht="15" hidden="false" customHeight="false" outlineLevel="0" collapsed="false">
      <c r="A17" s="0" t="s">
        <v>57</v>
      </c>
      <c r="B17" s="14" t="n">
        <v>0.1743</v>
      </c>
    </row>
    <row r="18" customFormat="false" ht="15" hidden="false" customHeight="false" outlineLevel="0" collapsed="false">
      <c r="A18" s="0" t="s">
        <v>58</v>
      </c>
      <c r="B18" s="0" t="n">
        <v>0.9361</v>
      </c>
    </row>
    <row r="20" customFormat="false" ht="15" hidden="false" customHeight="false" outlineLevel="0" collapsed="false">
      <c r="A20" s="3" t="s">
        <v>59</v>
      </c>
    </row>
    <row r="21" customFormat="false" ht="15" hidden="false" customHeight="false" outlineLevel="0" collapsed="false">
      <c r="A21" s="4" t="s">
        <v>60</v>
      </c>
      <c r="B21" s="4" t="s">
        <v>61</v>
      </c>
      <c r="C21" s="4" t="s">
        <v>62</v>
      </c>
      <c r="D21" s="4" t="s">
        <v>63</v>
      </c>
      <c r="E21" s="4" t="s">
        <v>64</v>
      </c>
      <c r="F21" s="4" t="s">
        <v>65</v>
      </c>
      <c r="G21" s="4" t="s">
        <v>66</v>
      </c>
      <c r="H21" s="4" t="s">
        <v>67</v>
      </c>
      <c r="I21" s="4" t="s">
        <v>68</v>
      </c>
    </row>
    <row r="22" customFormat="false" ht="15" hidden="false" customHeight="false" outlineLevel="0" collapsed="false">
      <c r="A22" s="0" t="n">
        <v>0.758</v>
      </c>
      <c r="B22" s="0" t="n">
        <v>0.872</v>
      </c>
      <c r="C22" s="0" t="n">
        <v>0.936</v>
      </c>
      <c r="D22" s="0" t="n">
        <v>1.05</v>
      </c>
      <c r="E22" s="0" t="n">
        <v>1.188</v>
      </c>
      <c r="F22" s="0" t="n">
        <v>1.337</v>
      </c>
      <c r="G22" s="0" t="n">
        <v>1.48</v>
      </c>
      <c r="H22" s="0" t="n">
        <v>1.573</v>
      </c>
      <c r="I22" s="0" t="n">
        <v>1.756</v>
      </c>
    </row>
    <row r="25" customFormat="false" ht="15" hidden="false" customHeight="false" outlineLevel="0" collapsed="false">
      <c r="A25" s="13" t="s">
        <v>69</v>
      </c>
      <c r="B25" s="13"/>
      <c r="C25" s="13"/>
      <c r="D25" s="13"/>
      <c r="E25" s="13"/>
      <c r="F25" s="13"/>
      <c r="G25" s="13"/>
    </row>
    <row r="26" customFormat="false" ht="28.35" hidden="false" customHeight="false" outlineLevel="0" collapsed="false">
      <c r="A26" s="4" t="s">
        <v>70</v>
      </c>
      <c r="B26" s="4" t="s">
        <v>71</v>
      </c>
      <c r="C26" s="4" t="s">
        <v>72</v>
      </c>
      <c r="D26" s="4" t="s">
        <v>73</v>
      </c>
      <c r="E26" s="4" t="s">
        <v>74</v>
      </c>
      <c r="F26" s="4" t="s">
        <v>75</v>
      </c>
      <c r="G26" s="4" t="s">
        <v>76</v>
      </c>
    </row>
    <row r="27" customFormat="false" ht="15" hidden="false" customHeight="false" outlineLevel="0" collapsed="false">
      <c r="A27" s="0" t="n">
        <v>16.219</v>
      </c>
      <c r="B27" s="0" t="n">
        <v>30.276</v>
      </c>
      <c r="C27" s="0" t="n">
        <v>22.617</v>
      </c>
      <c r="D27" s="0" t="n">
        <v>20.249</v>
      </c>
      <c r="E27" s="0" t="n">
        <v>31.613</v>
      </c>
      <c r="F27" s="0" t="n">
        <v>0.1031</v>
      </c>
      <c r="G27" s="12" t="n">
        <f aca="false">(A27+(C27*D27*COS(RADIANS(E27))^2-F27*C27*D27)*TAN(RADIANS(B27)))/(C27*D27*SIN(RADIANS(E27))*COS(RADIANS(E27)))</f>
        <v>0.892958628860099</v>
      </c>
    </row>
    <row r="28" customFormat="false" ht="15" hidden="false" customHeight="false" outlineLevel="0" collapsed="false">
      <c r="A28" s="0" t="n">
        <v>10.84</v>
      </c>
      <c r="B28" s="0" t="n">
        <v>42.173</v>
      </c>
      <c r="C28" s="0" t="n">
        <v>19.86</v>
      </c>
      <c r="D28" s="0" t="n">
        <v>16.961</v>
      </c>
      <c r="E28" s="0" t="n">
        <v>27.099</v>
      </c>
      <c r="F28" s="0" t="n">
        <v>0.0503</v>
      </c>
      <c r="G28" s="12" t="n">
        <f aca="false">(A28+(C28*D28*COS(RADIANS(E28))^2-F28*C28*D28)*TAN(RADIANS(B28)))/(C28*D28*SIN(RADIANS(E28))*COS(RADIANS(E28)))</f>
        <v>1.73732602408953</v>
      </c>
    </row>
    <row r="29" customFormat="false" ht="15" hidden="false" customHeight="false" outlineLevel="0" collapsed="false">
      <c r="A29" s="0" t="n">
        <v>18.002</v>
      </c>
      <c r="B29" s="0" t="n">
        <v>40.389</v>
      </c>
      <c r="C29" s="0" t="n">
        <v>19.535</v>
      </c>
      <c r="D29" s="0" t="n">
        <v>13.782</v>
      </c>
      <c r="E29" s="0" t="n">
        <v>25.156</v>
      </c>
      <c r="F29" s="0" t="n">
        <v>0.1416</v>
      </c>
      <c r="G29" s="12" t="n">
        <f aca="false">(A29+(C29*D29*COS(RADIANS(E29))^2-F29*C29*D29)*TAN(RADIANS(B29)))/(C29*D29*SIN(RADIANS(E29))*COS(RADIANS(E29)))</f>
        <v>1.67221050458775</v>
      </c>
    </row>
    <row r="30" customFormat="false" ht="15" hidden="false" customHeight="false" outlineLevel="0" collapsed="false">
      <c r="A30" s="0" t="n">
        <v>18.762</v>
      </c>
      <c r="B30" s="0" t="n">
        <v>32.514</v>
      </c>
      <c r="C30" s="0" t="n">
        <v>18.866</v>
      </c>
      <c r="D30" s="0" t="n">
        <v>15.735</v>
      </c>
      <c r="E30" s="0" t="n">
        <v>31.132</v>
      </c>
      <c r="F30" s="0" t="n">
        <v>0.2584</v>
      </c>
      <c r="G30" s="12" t="n">
        <f aca="false">(A30+(C30*D30*COS(RADIANS(E30))^2-F30*C30*D30)*TAN(RADIANS(B30)))/(C30*D30*SIN(RADIANS(E30))*COS(RADIANS(E30)))</f>
        <v>0.825955276357792</v>
      </c>
    </row>
    <row r="31" customFormat="false" ht="15" hidden="false" customHeight="false" outlineLevel="0" collapsed="false">
      <c r="A31" s="0" t="n">
        <v>7.196</v>
      </c>
      <c r="B31" s="0" t="n">
        <v>39.804</v>
      </c>
      <c r="C31" s="0" t="n">
        <v>19.745</v>
      </c>
      <c r="D31" s="0" t="n">
        <v>12.587</v>
      </c>
      <c r="E31" s="0" t="n">
        <v>28.66</v>
      </c>
      <c r="F31" s="0" t="n">
        <v>0.2085</v>
      </c>
      <c r="G31" s="12" t="n">
        <f aca="false">(A31+(C31*D31*COS(RADIANS(E31))^2-F31*C31*D31)*TAN(RADIANS(B31)))/(C31*D31*SIN(RADIANS(E31))*COS(RADIANS(E31)))</f>
        <v>1.18052258079446</v>
      </c>
    </row>
    <row r="32" customFormat="false" ht="15" hidden="false" customHeight="false" outlineLevel="0" collapsed="false">
      <c r="A32" s="0" t="n">
        <v>9.791</v>
      </c>
      <c r="B32" s="0" t="n">
        <v>31.55</v>
      </c>
      <c r="C32" s="0" t="n">
        <v>19.727</v>
      </c>
      <c r="D32" s="0" t="n">
        <v>17.013</v>
      </c>
      <c r="E32" s="0" t="n">
        <v>28.215</v>
      </c>
      <c r="F32" s="0" t="n">
        <v>0.0579</v>
      </c>
      <c r="G32" s="12" t="n">
        <f aca="false">(A32+(C32*D32*COS(RADIANS(E32))^2-F32*C32*D32)*TAN(RADIANS(B32)))/(C32*D32*SIN(RADIANS(E32))*COS(RADIANS(E32)))</f>
        <v>1.12908093180969</v>
      </c>
    </row>
    <row r="33" customFormat="false" ht="15" hidden="false" customHeight="false" outlineLevel="0" collapsed="false">
      <c r="A33" s="0" t="n">
        <v>15.511</v>
      </c>
      <c r="B33" s="0" t="n">
        <v>32.979</v>
      </c>
      <c r="C33" s="0" t="n">
        <v>19.753</v>
      </c>
      <c r="D33" s="0" t="n">
        <v>15.048</v>
      </c>
      <c r="E33" s="0" t="n">
        <v>26.745</v>
      </c>
      <c r="F33" s="0" t="n">
        <v>0.1812</v>
      </c>
      <c r="G33" s="12" t="n">
        <f aca="false">(A33+(C33*D33*COS(RADIANS(E33))^2-F33*C33*D33)*TAN(RADIANS(B33)))/(C33*D33*SIN(RADIANS(E33))*COS(RADIANS(E33)))</f>
        <v>1.12492195704445</v>
      </c>
    </row>
    <row r="34" customFormat="false" ht="15" hidden="false" customHeight="false" outlineLevel="0" collapsed="false">
      <c r="A34" s="0" t="n">
        <v>13.735</v>
      </c>
      <c r="B34" s="0" t="n">
        <v>35.029</v>
      </c>
      <c r="C34" s="0" t="n">
        <v>20.38</v>
      </c>
      <c r="D34" s="0" t="n">
        <v>12.893</v>
      </c>
      <c r="E34" s="0" t="n">
        <v>30.711</v>
      </c>
      <c r="F34" s="0" t="n">
        <v>0.2379</v>
      </c>
      <c r="G34" s="12" t="n">
        <f aca="false">(A34+(C34*D34*COS(RADIANS(E34))^2-F34*C34*D34)*TAN(RADIANS(B34)))/(C34*D34*SIN(RADIANS(E34))*COS(RADIANS(E34)))</f>
        <v>0.919298326514071</v>
      </c>
    </row>
    <row r="35" customFormat="false" ht="15" hidden="false" customHeight="false" outlineLevel="0" collapsed="false">
      <c r="A35" s="0" t="n">
        <v>14.933</v>
      </c>
      <c r="B35" s="0" t="n">
        <v>32.37</v>
      </c>
      <c r="C35" s="0" t="n">
        <v>19.104</v>
      </c>
      <c r="D35" s="0" t="n">
        <v>12.41</v>
      </c>
      <c r="E35" s="0" t="n">
        <v>26.914</v>
      </c>
      <c r="F35" s="0" t="n">
        <v>0.2125</v>
      </c>
      <c r="G35" s="12" t="n">
        <f aca="false">(A35+(C35*D35*COS(RADIANS(E35))^2-F35*C35*D35)*TAN(RADIANS(B35)))/(C35*D35*SIN(RADIANS(E35))*COS(RADIANS(E35)))</f>
        <v>1.07102541182989</v>
      </c>
    </row>
    <row r="36" customFormat="false" ht="15" hidden="false" customHeight="false" outlineLevel="0" collapsed="false">
      <c r="A36" s="0" t="n">
        <v>11.588</v>
      </c>
      <c r="B36" s="0" t="n">
        <v>36.816</v>
      </c>
      <c r="C36" s="0" t="n">
        <v>18.746</v>
      </c>
      <c r="D36" s="0" t="n">
        <v>15.743</v>
      </c>
      <c r="E36" s="0" t="n">
        <v>27.774</v>
      </c>
      <c r="F36" s="0" t="n">
        <v>0.2458</v>
      </c>
      <c r="G36" s="12" t="n">
        <f aca="false">(A36+(C36*D36*COS(RADIANS(E36))^2-F36*C36*D36)*TAN(RADIANS(B36)))/(C36*D36*SIN(RADIANS(E36))*COS(RADIANS(E36)))</f>
        <v>1.07026418339471</v>
      </c>
    </row>
    <row r="37" customFormat="false" ht="15" hidden="false" customHeight="false" outlineLevel="0" collapsed="false">
      <c r="A37" s="0" t="n">
        <v>18.518</v>
      </c>
      <c r="B37" s="0" t="n">
        <v>38.412</v>
      </c>
      <c r="C37" s="0" t="n">
        <v>19.421</v>
      </c>
      <c r="D37" s="0" t="n">
        <v>18.718</v>
      </c>
      <c r="E37" s="0" t="n">
        <v>26.893</v>
      </c>
      <c r="F37" s="0" t="n">
        <v>0.0677</v>
      </c>
      <c r="G37" s="12" t="n">
        <f aca="false">(A37+(C37*D37*COS(RADIANS(E37))^2-F37*C37*D37)*TAN(RADIANS(B37)))/(C37*D37*SIN(RADIANS(E37))*COS(RADIANS(E37)))</f>
        <v>1.55663181734166</v>
      </c>
    </row>
    <row r="38" customFormat="false" ht="15" hidden="false" customHeight="false" outlineLevel="0" collapsed="false">
      <c r="A38" s="0" t="n">
        <v>18.111</v>
      </c>
      <c r="B38" s="0" t="n">
        <v>30.742</v>
      </c>
      <c r="C38" s="0" t="n">
        <v>18.893</v>
      </c>
      <c r="D38" s="0" t="n">
        <v>18.948</v>
      </c>
      <c r="E38" s="0" t="n">
        <v>31.173</v>
      </c>
      <c r="F38" s="0" t="n">
        <v>0.0508</v>
      </c>
      <c r="G38" s="12" t="n">
        <f aca="false">(A38+(C38*D38*COS(RADIANS(E38))^2-F38*C38*D38)*TAN(RADIANS(B38)))/(C38*D38*SIN(RADIANS(E38))*COS(RADIANS(E38)))</f>
        <v>1.02910454059132</v>
      </c>
    </row>
    <row r="39" customFormat="false" ht="15" hidden="false" customHeight="false" outlineLevel="0" collapsed="false">
      <c r="A39" s="0" t="n">
        <v>15.264</v>
      </c>
      <c r="B39" s="0" t="n">
        <v>35.356</v>
      </c>
      <c r="C39" s="0" t="n">
        <v>20.944</v>
      </c>
      <c r="D39" s="0" t="n">
        <v>13.617</v>
      </c>
      <c r="E39" s="0" t="n">
        <v>30.807</v>
      </c>
      <c r="F39" s="0" t="n">
        <v>0.0697</v>
      </c>
      <c r="G39" s="12" t="n">
        <f aca="false">(A39+(C39*D39*COS(RADIANS(E39))^2-F39*C39*D39)*TAN(RADIANS(B39)))/(C39*D39*SIN(RADIANS(E39))*COS(RADIANS(E39)))</f>
        <v>1.19912942206406</v>
      </c>
    </row>
    <row r="40" customFormat="false" ht="15" hidden="false" customHeight="false" outlineLevel="0" collapsed="false">
      <c r="A40" s="0" t="n">
        <v>19.509</v>
      </c>
      <c r="B40" s="0" t="n">
        <v>32.029</v>
      </c>
      <c r="C40" s="0" t="n">
        <v>20.07</v>
      </c>
      <c r="D40" s="0" t="n">
        <v>12.938</v>
      </c>
      <c r="E40" s="0" t="n">
        <v>26.944</v>
      </c>
      <c r="F40" s="0" t="n">
        <v>0.1762</v>
      </c>
      <c r="G40" s="12" t="n">
        <f aca="false">(A40+(C40*D40*COS(RADIANS(E40))^2-F40*C40*D40)*TAN(RADIANS(B40)))/(C40*D40*SIN(RADIANS(E40))*COS(RADIANS(E40)))</f>
        <v>1.14384640572422</v>
      </c>
    </row>
    <row r="41" customFormat="false" ht="15" hidden="false" customHeight="false" outlineLevel="0" collapsed="false">
      <c r="A41" s="0" t="n">
        <v>16.87</v>
      </c>
      <c r="B41" s="0" t="n">
        <v>35.824</v>
      </c>
      <c r="C41" s="0" t="n">
        <v>19.314</v>
      </c>
      <c r="D41" s="0" t="n">
        <v>15.901</v>
      </c>
      <c r="E41" s="0" t="n">
        <v>25.498</v>
      </c>
      <c r="F41" s="0" t="n">
        <v>0.0321</v>
      </c>
      <c r="G41" s="12" t="n">
        <f aca="false">(A41+(C41*D41*COS(RADIANS(E41))^2-F41*C41*D41)*TAN(RADIANS(B41)))/(C41*D41*SIN(RADIANS(E41))*COS(RADIANS(E41)))</f>
        <v>1.59528439678529</v>
      </c>
    </row>
    <row r="42" customFormat="false" ht="15" hidden="false" customHeight="false" outlineLevel="0" collapsed="false">
      <c r="A42" s="0" t="n">
        <v>11.563</v>
      </c>
      <c r="B42" s="0" t="n">
        <v>35.895</v>
      </c>
      <c r="C42" s="0" t="n">
        <v>21.279</v>
      </c>
      <c r="D42" s="0" t="n">
        <v>14</v>
      </c>
      <c r="E42" s="0" t="n">
        <v>25.188</v>
      </c>
      <c r="F42" s="0" t="n">
        <v>0.1554</v>
      </c>
      <c r="G42" s="12" t="n">
        <f aca="false">(A42+(C42*D42*COS(RADIANS(E42))^2-F42*C42*D42)*TAN(RADIANS(B42)))/(C42*D42*SIN(RADIANS(E42))*COS(RADIANS(E42)))</f>
        <v>1.3476227390539</v>
      </c>
    </row>
    <row r="43" customFormat="false" ht="15" hidden="false" customHeight="false" outlineLevel="0" collapsed="false">
      <c r="A43" s="0" t="n">
        <v>16.475</v>
      </c>
      <c r="B43" s="0" t="n">
        <v>33.089</v>
      </c>
      <c r="C43" s="0" t="n">
        <v>19.326</v>
      </c>
      <c r="D43" s="0" t="n">
        <v>14.972</v>
      </c>
      <c r="E43" s="0" t="n">
        <v>30.662</v>
      </c>
      <c r="F43" s="0" t="n">
        <v>0</v>
      </c>
      <c r="G43" s="12" t="n">
        <f aca="false">(A43+(C43*D43*COS(RADIANS(E43))^2-F43*C43*D43)*TAN(RADIANS(B43)))/(C43*D43*SIN(RADIANS(E43))*COS(RADIANS(E43)))</f>
        <v>1.22890633989696</v>
      </c>
    </row>
    <row r="44" customFormat="false" ht="15" hidden="false" customHeight="false" outlineLevel="0" collapsed="false">
      <c r="A44" s="0" t="n">
        <v>11.164</v>
      </c>
      <c r="B44" s="0" t="n">
        <v>34.507</v>
      </c>
      <c r="C44" s="0" t="n">
        <v>20.527</v>
      </c>
      <c r="D44" s="0" t="n">
        <v>16.082</v>
      </c>
      <c r="E44" s="0" t="n">
        <v>29.81</v>
      </c>
      <c r="F44" s="0" t="n">
        <v>0.2308</v>
      </c>
      <c r="G44" s="12" t="n">
        <f aca="false">(A44+(C44*D44*COS(RADIANS(E44))^2-F44*C44*D44)*TAN(RADIANS(B44)))/(C44*D44*SIN(RADIANS(E44))*COS(RADIANS(E44)))</f>
        <v>0.910451135838895</v>
      </c>
    </row>
    <row r="45" customFormat="false" ht="15" hidden="false" customHeight="false" outlineLevel="0" collapsed="false">
      <c r="A45" s="0" t="n">
        <v>18.514</v>
      </c>
      <c r="B45" s="0" t="n">
        <v>35.31</v>
      </c>
      <c r="C45" s="0" t="n">
        <v>22.474</v>
      </c>
      <c r="D45" s="0" t="n">
        <v>14.851</v>
      </c>
      <c r="E45" s="0" t="n">
        <v>27.291</v>
      </c>
      <c r="F45" s="0" t="n">
        <v>0.2861</v>
      </c>
      <c r="G45" s="12" t="n">
        <f aca="false">(A45+(C45*D45*COS(RADIANS(E45))^2-F45*C45*D45)*TAN(RADIANS(B45)))/(C45*D45*SIN(RADIANS(E45))*COS(RADIANS(E45)))</f>
        <v>1.01165017964234</v>
      </c>
    </row>
    <row r="46" customFormat="false" ht="15" hidden="false" customHeight="false" outlineLevel="0" collapsed="false">
      <c r="A46" s="0" t="n">
        <v>14.8</v>
      </c>
      <c r="B46" s="0" t="n">
        <v>32.947</v>
      </c>
      <c r="C46" s="0" t="n">
        <v>19.978</v>
      </c>
      <c r="D46" s="0" t="n">
        <v>8.01</v>
      </c>
      <c r="E46" s="0" t="n">
        <v>26.546</v>
      </c>
      <c r="F46" s="0" t="n">
        <v>0</v>
      </c>
      <c r="G46" s="12" t="n">
        <f aca="false">(A46+(C46*D46*COS(RADIANS(E46))^2-F46*C46*D46)*TAN(RADIANS(B46)))/(C46*D46*SIN(RADIANS(E46))*COS(RADIANS(E46)))</f>
        <v>1.52859575000939</v>
      </c>
    </row>
    <row r="47" customFormat="false" ht="15" hidden="false" customHeight="false" outlineLevel="0" collapsed="false">
      <c r="A47" s="0" t="n">
        <v>14.261</v>
      </c>
      <c r="B47" s="0" t="n">
        <v>29.977</v>
      </c>
      <c r="C47" s="0" t="n">
        <v>21.114</v>
      </c>
      <c r="D47" s="0" t="n">
        <v>15.666</v>
      </c>
      <c r="E47" s="0" t="n">
        <v>27.593</v>
      </c>
      <c r="F47" s="0" t="n">
        <v>0.1883</v>
      </c>
      <c r="G47" s="12" t="n">
        <f aca="false">(A47+(C47*D47*COS(RADIANS(E47))^2-F47*C47*D47)*TAN(RADIANS(B47)))/(C47*D47*SIN(RADIANS(E47))*COS(RADIANS(E47)))</f>
        <v>0.944114425636714</v>
      </c>
    </row>
    <row r="48" customFormat="false" ht="15" hidden="false" customHeight="false" outlineLevel="0" collapsed="false">
      <c r="A48" s="0" t="n">
        <v>12.276</v>
      </c>
      <c r="B48" s="0" t="n">
        <v>37.327</v>
      </c>
      <c r="C48" s="0" t="n">
        <v>19.197</v>
      </c>
      <c r="D48" s="0" t="n">
        <v>15.624</v>
      </c>
      <c r="E48" s="0" t="n">
        <v>30.03</v>
      </c>
      <c r="F48" s="0" t="n">
        <v>0.1995</v>
      </c>
      <c r="G48" s="12" t="n">
        <f aca="false">(A48+(C48*D48*COS(RADIANS(E48))^2-F48*C48*D48)*TAN(RADIANS(B48)))/(C48*D48*SIN(RADIANS(E48))*COS(RADIANS(E48)))</f>
        <v>1.06251837395149</v>
      </c>
    </row>
    <row r="49" customFormat="false" ht="15" hidden="false" customHeight="false" outlineLevel="0" collapsed="false">
      <c r="A49" s="0" t="n">
        <v>19.89</v>
      </c>
      <c r="B49" s="0" t="n">
        <v>37.305</v>
      </c>
      <c r="C49" s="0" t="n">
        <v>20.033</v>
      </c>
      <c r="D49" s="0" t="n">
        <v>14.068</v>
      </c>
      <c r="E49" s="0" t="n">
        <v>27.34</v>
      </c>
      <c r="F49" s="0" t="n">
        <v>0.1781</v>
      </c>
      <c r="G49" s="12" t="n">
        <f aca="false">(A49+(C49*D49*COS(RADIANS(E49))^2-F49*C49*D49)*TAN(RADIANS(B49)))/(C49*D49*SIN(RADIANS(E49))*COS(RADIANS(E49)))</f>
        <v>1.31406295014138</v>
      </c>
    </row>
    <row r="50" customFormat="false" ht="15" hidden="false" customHeight="false" outlineLevel="0" collapsed="false">
      <c r="A50" s="0" t="n">
        <v>14.382</v>
      </c>
      <c r="B50" s="0" t="n">
        <v>37.166</v>
      </c>
      <c r="C50" s="0" t="n">
        <v>20.284</v>
      </c>
      <c r="D50" s="0" t="n">
        <v>13.61</v>
      </c>
      <c r="E50" s="0" t="n">
        <v>28.954</v>
      </c>
      <c r="F50" s="0" t="n">
        <v>0.1138</v>
      </c>
      <c r="G50" s="12" t="n">
        <f aca="false">(A50+(C50*D50*COS(RADIANS(E50))^2-F50*C50*D50)*TAN(RADIANS(B50)))/(C50*D50*SIN(RADIANS(E50))*COS(RADIANS(E50)))</f>
        <v>1.28957293898772</v>
      </c>
    </row>
    <row r="51" customFormat="false" ht="15" hidden="false" customHeight="false" outlineLevel="0" collapsed="false">
      <c r="A51" s="0" t="n">
        <v>13.287</v>
      </c>
      <c r="B51" s="0" t="n">
        <v>32.021</v>
      </c>
      <c r="C51" s="0" t="n">
        <v>20.151</v>
      </c>
      <c r="D51" s="0" t="n">
        <v>11.208</v>
      </c>
      <c r="E51" s="0" t="n">
        <v>28.359</v>
      </c>
      <c r="F51" s="0" t="n">
        <v>0.1746</v>
      </c>
      <c r="G51" s="12" t="n">
        <f aca="false">(A51+(C51*D51*COS(RADIANS(E51))^2-F51*C51*D51)*TAN(RADIANS(B51)))/(C51*D51*SIN(RADIANS(E51))*COS(RADIANS(E51)))</f>
        <v>1.03811216075358</v>
      </c>
    </row>
    <row r="52" customFormat="false" ht="15" hidden="false" customHeight="false" outlineLevel="0" collapsed="false">
      <c r="A52" s="0" t="n">
        <v>13.591</v>
      </c>
      <c r="B52" s="0" t="n">
        <v>34.302</v>
      </c>
      <c r="C52" s="0" t="n">
        <v>18.937</v>
      </c>
      <c r="D52" s="0" t="n">
        <v>9.927</v>
      </c>
      <c r="E52" s="0" t="n">
        <v>26.755</v>
      </c>
      <c r="F52" s="0" t="n">
        <v>0.1235</v>
      </c>
      <c r="G52" s="12" t="n">
        <f aca="false">(A52+(C52*D52*COS(RADIANS(E52))^2-F52*C52*D52)*TAN(RADIANS(B52)))/(C52*D52*SIN(RADIANS(E52))*COS(RADIANS(E52)))</f>
        <v>1.32343568780628</v>
      </c>
    </row>
    <row r="53" customFormat="false" ht="15" hidden="false" customHeight="false" outlineLevel="0" collapsed="false">
      <c r="A53" s="0" t="n">
        <v>17.129</v>
      </c>
      <c r="B53" s="0" t="n">
        <v>30.108</v>
      </c>
      <c r="C53" s="0" t="n">
        <v>19.267</v>
      </c>
      <c r="D53" s="0" t="n">
        <v>16.523</v>
      </c>
      <c r="E53" s="0" t="n">
        <v>28.366</v>
      </c>
      <c r="F53" s="0" t="n">
        <v>0.0978</v>
      </c>
      <c r="G53" s="12" t="n">
        <f aca="false">(A53+(C53*D53*COS(RADIANS(E53))^2-F53*C53*D53)*TAN(RADIANS(B53)))/(C53*D53*SIN(RADIANS(E53))*COS(RADIANS(E53)))</f>
        <v>1.06701389168094</v>
      </c>
    </row>
    <row r="54" customFormat="false" ht="15" hidden="false" customHeight="false" outlineLevel="0" collapsed="false">
      <c r="A54" s="0" t="n">
        <v>16.462</v>
      </c>
      <c r="B54" s="0" t="n">
        <v>41.258</v>
      </c>
      <c r="C54" s="0" t="n">
        <v>18.93</v>
      </c>
      <c r="D54" s="0" t="n">
        <v>13.542</v>
      </c>
      <c r="E54" s="0" t="n">
        <v>27.442</v>
      </c>
      <c r="F54" s="0" t="n">
        <v>0.1714</v>
      </c>
      <c r="G54" s="12" t="n">
        <f aca="false">(A54+(C54*D54*COS(RADIANS(E54))^2-F54*C54*D54)*TAN(RADIANS(B54)))/(C54*D54*SIN(RADIANS(E54))*COS(RADIANS(E54)))</f>
        <v>1.47869151433424</v>
      </c>
    </row>
    <row r="55" customFormat="false" ht="15" hidden="false" customHeight="false" outlineLevel="0" collapsed="false">
      <c r="A55" s="0" t="n">
        <v>16.651</v>
      </c>
      <c r="B55" s="0" t="n">
        <v>31.014</v>
      </c>
      <c r="C55" s="0" t="n">
        <v>20.425</v>
      </c>
      <c r="D55" s="0" t="n">
        <v>16.916</v>
      </c>
      <c r="E55" s="0" t="n">
        <v>29.362</v>
      </c>
      <c r="F55" s="0" t="n">
        <v>0.1226</v>
      </c>
      <c r="G55" s="12" t="n">
        <f aca="false">(A55+(C55*D55*COS(RADIANS(E55))^2-F55*C55*D55)*TAN(RADIANS(B55)))/(C55*D55*SIN(RADIANS(E55))*COS(RADIANS(E55)))</f>
        <v>1.00889892314739</v>
      </c>
    </row>
    <row r="56" customFormat="false" ht="15" hidden="false" customHeight="false" outlineLevel="0" collapsed="false">
      <c r="A56" s="0" t="n">
        <v>16.723</v>
      </c>
      <c r="B56" s="0" t="n">
        <v>38.755</v>
      </c>
      <c r="C56" s="0" t="n">
        <v>19.211</v>
      </c>
      <c r="D56" s="0" t="n">
        <v>15.708</v>
      </c>
      <c r="E56" s="0" t="n">
        <v>30.025</v>
      </c>
      <c r="F56" s="0" t="n">
        <v>0.2417</v>
      </c>
      <c r="G56" s="12" t="n">
        <f aca="false">(A56+(C56*D56*COS(RADIANS(E56))^2-F56*C56*D56)*TAN(RADIANS(B56)))/(C56*D56*SIN(RADIANS(E56))*COS(RADIANS(E56)))</f>
        <v>1.06903883947014</v>
      </c>
    </row>
    <row r="57" customFormat="false" ht="15" hidden="false" customHeight="false" outlineLevel="0" collapsed="false">
      <c r="A57" s="0" t="n">
        <v>23.567</v>
      </c>
      <c r="B57" s="0" t="n">
        <v>32.672</v>
      </c>
      <c r="C57" s="0" t="n">
        <v>19.679</v>
      </c>
      <c r="D57" s="0" t="n">
        <v>18.607</v>
      </c>
      <c r="E57" s="0" t="n">
        <v>30.949</v>
      </c>
      <c r="F57" s="0" t="n">
        <v>0.0605</v>
      </c>
      <c r="G57" s="12" t="n">
        <f aca="false">(A57+(C57*D57*COS(RADIANS(E57))^2-F57*C57*D57)*TAN(RADIANS(B57)))/(C57*D57*SIN(RADIANS(E57))*COS(RADIANS(E57)))</f>
        <v>1.12741354943368</v>
      </c>
    </row>
    <row r="58" customFormat="false" ht="15" hidden="false" customHeight="false" outlineLevel="0" collapsed="false">
      <c r="A58" s="0" t="n">
        <v>13.374</v>
      </c>
      <c r="B58" s="0" t="n">
        <v>35.908</v>
      </c>
      <c r="C58" s="0" t="n">
        <v>18.762</v>
      </c>
      <c r="D58" s="0" t="n">
        <v>15.487</v>
      </c>
      <c r="E58" s="0" t="n">
        <v>29.169</v>
      </c>
      <c r="F58" s="0" t="n">
        <v>0.1025</v>
      </c>
      <c r="G58" s="12" t="n">
        <f aca="false">(A58+(C58*D58*COS(RADIANS(E58))^2-F58*C58*D58)*TAN(RADIANS(B58)))/(C58*D58*SIN(RADIANS(E58))*COS(RADIANS(E58)))</f>
        <v>1.23101364801659</v>
      </c>
    </row>
    <row r="59" customFormat="false" ht="15" hidden="false" customHeight="false" outlineLevel="0" collapsed="false">
      <c r="A59" s="0" t="n">
        <v>12.951</v>
      </c>
      <c r="B59" s="0" t="n">
        <v>34.229</v>
      </c>
      <c r="C59" s="0" t="n">
        <v>19.408</v>
      </c>
      <c r="D59" s="0" t="n">
        <v>14.677</v>
      </c>
      <c r="E59" s="0" t="n">
        <v>27.19</v>
      </c>
      <c r="F59" s="0" t="n">
        <v>0.0273</v>
      </c>
      <c r="G59" s="12" t="n">
        <f aca="false">(A59+(C59*D59*COS(RADIANS(E59))^2-F59*C59*D59)*TAN(RADIANS(B59)))/(C59*D59*SIN(RADIANS(E59))*COS(RADIANS(E59)))</f>
        <v>1.39053066000645</v>
      </c>
    </row>
    <row r="60" customFormat="false" ht="15" hidden="false" customHeight="false" outlineLevel="0" collapsed="false">
      <c r="A60" s="0" t="n">
        <v>11.745</v>
      </c>
      <c r="B60" s="0" t="n">
        <v>33.843</v>
      </c>
      <c r="C60" s="0" t="n">
        <v>21.413</v>
      </c>
      <c r="D60" s="0" t="n">
        <v>20.255</v>
      </c>
      <c r="E60" s="0" t="n">
        <v>29.77</v>
      </c>
      <c r="F60" s="0" t="n">
        <v>0.0986</v>
      </c>
      <c r="G60" s="12" t="n">
        <f aca="false">(A60+(C60*D60*COS(RADIANS(E60))^2-F60*C60*D60)*TAN(RADIANS(B60)))/(C60*D60*SIN(RADIANS(E60))*COS(RADIANS(E60)))</f>
        <v>1.08166344497933</v>
      </c>
    </row>
    <row r="61" customFormat="false" ht="15" hidden="false" customHeight="false" outlineLevel="0" collapsed="false">
      <c r="A61" s="0" t="n">
        <v>17.464</v>
      </c>
      <c r="B61" s="0" t="n">
        <v>36.219</v>
      </c>
      <c r="C61" s="0" t="n">
        <v>19.494</v>
      </c>
      <c r="D61" s="0" t="n">
        <v>12.58</v>
      </c>
      <c r="E61" s="0" t="n">
        <v>31.049</v>
      </c>
      <c r="F61" s="0" t="n">
        <v>0</v>
      </c>
      <c r="G61" s="12" t="n">
        <f aca="false">(A61+(C61*D61*COS(RADIANS(E61))^2-F61*C61*D61)*TAN(RADIANS(B61)))/(C61*D61*SIN(RADIANS(E61))*COS(RADIANS(E61)))</f>
        <v>1.37772042596997</v>
      </c>
    </row>
    <row r="62" customFormat="false" ht="15" hidden="false" customHeight="false" outlineLevel="0" collapsed="false">
      <c r="A62" s="0" t="n">
        <v>19.516</v>
      </c>
      <c r="B62" s="0" t="n">
        <v>33.344</v>
      </c>
      <c r="C62" s="0" t="n">
        <v>18.28</v>
      </c>
      <c r="D62" s="0" t="n">
        <v>10.872</v>
      </c>
      <c r="E62" s="0" t="n">
        <v>27.055</v>
      </c>
      <c r="F62" s="0" t="n">
        <v>0.1843</v>
      </c>
      <c r="G62" s="12" t="n">
        <f aca="false">(A62+(C62*D62*COS(RADIANS(E62))^2-F62*C62*D62)*TAN(RADIANS(B62)))/(C62*D62*SIN(RADIANS(E62))*COS(RADIANS(E62)))</f>
        <v>1.23134955426814</v>
      </c>
    </row>
    <row r="63" customFormat="false" ht="15" hidden="false" customHeight="false" outlineLevel="0" collapsed="false">
      <c r="A63" s="0" t="n">
        <v>14.544</v>
      </c>
      <c r="B63" s="0" t="n">
        <v>30.16</v>
      </c>
      <c r="C63" s="0" t="n">
        <v>21.131</v>
      </c>
      <c r="D63" s="0" t="n">
        <v>12.606</v>
      </c>
      <c r="E63" s="0" t="n">
        <v>27.123</v>
      </c>
      <c r="F63" s="0" t="n">
        <v>0.2543</v>
      </c>
      <c r="G63" s="12" t="n">
        <f aca="false">(A63+(C63*D63*COS(RADIANS(E63))^2-F63*C63*D63)*TAN(RADIANS(B63)))/(C63*D63*SIN(RADIANS(E63))*COS(RADIANS(E63)))</f>
        <v>0.904792966419136</v>
      </c>
    </row>
    <row r="64" customFormat="false" ht="15" hidden="false" customHeight="false" outlineLevel="0" collapsed="false">
      <c r="A64" s="0" t="n">
        <v>11.639</v>
      </c>
      <c r="B64" s="0" t="n">
        <v>34.503</v>
      </c>
      <c r="C64" s="0" t="n">
        <v>20.851</v>
      </c>
      <c r="D64" s="0" t="n">
        <v>20.29</v>
      </c>
      <c r="E64" s="0" t="n">
        <v>26.716</v>
      </c>
      <c r="F64" s="0" t="n">
        <v>0.1587</v>
      </c>
      <c r="G64" s="12" t="n">
        <f aca="false">(A64+(C64*D64*COS(RADIANS(E64))^2-F64*C64*D64)*TAN(RADIANS(B64)))/(C64*D64*SIN(RADIANS(E64))*COS(RADIANS(E64)))</f>
        <v>1.16257730356103</v>
      </c>
    </row>
    <row r="65" customFormat="false" ht="15" hidden="false" customHeight="false" outlineLevel="0" collapsed="false">
      <c r="A65" s="0" t="n">
        <v>11.702</v>
      </c>
      <c r="B65" s="0" t="n">
        <v>38.343</v>
      </c>
      <c r="C65" s="0" t="n">
        <v>20.908</v>
      </c>
      <c r="D65" s="0" t="n">
        <v>9.774</v>
      </c>
      <c r="E65" s="0" t="n">
        <v>26.284</v>
      </c>
      <c r="F65" s="0" t="n">
        <v>0.1474</v>
      </c>
      <c r="G65" s="12" t="n">
        <f aca="false">(A65+(C65*D65*COS(RADIANS(E65))^2-F65*C65*D65)*TAN(RADIANS(B65)))/(C65*D65*SIN(RADIANS(E65))*COS(RADIANS(E65)))</f>
        <v>1.45211364320762</v>
      </c>
    </row>
    <row r="66" customFormat="false" ht="15" hidden="false" customHeight="false" outlineLevel="0" collapsed="false">
      <c r="A66" s="0" t="n">
        <v>17.602</v>
      </c>
      <c r="B66" s="0" t="n">
        <v>35.049</v>
      </c>
      <c r="C66" s="0" t="n">
        <v>20.592</v>
      </c>
      <c r="D66" s="0" t="n">
        <v>14.81</v>
      </c>
      <c r="E66" s="0" t="n">
        <v>27.381</v>
      </c>
      <c r="F66" s="0" t="n">
        <v>0.1412</v>
      </c>
      <c r="G66" s="12" t="n">
        <f aca="false">(A66+(C66*D66*COS(RADIANS(E66))^2-F66*C66*D66)*TAN(RADIANS(B66)))/(C66*D66*SIN(RADIANS(E66))*COS(RADIANS(E66)))</f>
        <v>1.25318787795602</v>
      </c>
    </row>
    <row r="67" customFormat="false" ht="15" hidden="false" customHeight="false" outlineLevel="0" collapsed="false">
      <c r="A67" s="0" t="n">
        <v>17.973</v>
      </c>
      <c r="B67" s="0" t="n">
        <v>32.18</v>
      </c>
      <c r="C67" s="0" t="n">
        <v>20.815</v>
      </c>
      <c r="D67" s="0" t="n">
        <v>14.327</v>
      </c>
      <c r="E67" s="0" t="n">
        <v>27.527</v>
      </c>
      <c r="F67" s="0" t="n">
        <v>0.2192</v>
      </c>
      <c r="G67" s="12" t="n">
        <f aca="false">(A67+(C67*D67*COS(RADIANS(E67))^2-F67*C67*D67)*TAN(RADIANS(B67)))/(C67*D67*SIN(RADIANS(E67))*COS(RADIANS(E67)))</f>
        <v>1.01788945817757</v>
      </c>
    </row>
    <row r="68" customFormat="false" ht="15" hidden="false" customHeight="false" outlineLevel="0" collapsed="false">
      <c r="A68" s="0" t="n">
        <v>17.173</v>
      </c>
      <c r="B68" s="0" t="n">
        <v>43.296</v>
      </c>
      <c r="C68" s="0" t="n">
        <v>18.747</v>
      </c>
      <c r="D68" s="0" t="n">
        <v>16.735</v>
      </c>
      <c r="E68" s="0" t="n">
        <v>29.742</v>
      </c>
      <c r="F68" s="0" t="n">
        <v>0.1655</v>
      </c>
      <c r="G68" s="12" t="n">
        <f aca="false">(A68+(C68*D68*COS(RADIANS(E68))^2-F68*C68*D68)*TAN(RADIANS(B68)))/(C68*D68*SIN(RADIANS(E68))*COS(RADIANS(E68)))</f>
        <v>1.41413702859456</v>
      </c>
    </row>
    <row r="69" customFormat="false" ht="15" hidden="false" customHeight="false" outlineLevel="0" collapsed="false">
      <c r="A69" s="0" t="n">
        <v>12.338</v>
      </c>
      <c r="B69" s="0" t="n">
        <v>35.025</v>
      </c>
      <c r="C69" s="0" t="n">
        <v>19.885</v>
      </c>
      <c r="D69" s="0" t="n">
        <v>16.362</v>
      </c>
      <c r="E69" s="0" t="n">
        <v>32.323</v>
      </c>
      <c r="F69" s="0" t="n">
        <v>0.0947</v>
      </c>
      <c r="G69" s="12" t="n">
        <f aca="false">(A69+(C69*D69*COS(RADIANS(E69))^2-F69*C69*D69)*TAN(RADIANS(B69)))/(C69*D69*SIN(RADIANS(E69))*COS(RADIANS(E69)))</f>
        <v>1.04469823659915</v>
      </c>
    </row>
    <row r="70" customFormat="false" ht="15" hidden="false" customHeight="false" outlineLevel="0" collapsed="false">
      <c r="A70" s="0" t="n">
        <v>15.929</v>
      </c>
      <c r="B70" s="0" t="n">
        <v>32.449</v>
      </c>
      <c r="C70" s="0" t="n">
        <v>20.093</v>
      </c>
      <c r="D70" s="0" t="n">
        <v>13.087</v>
      </c>
      <c r="E70" s="0" t="n">
        <v>30.374</v>
      </c>
      <c r="F70" s="0" t="n">
        <v>0.316</v>
      </c>
      <c r="G70" s="12" t="n">
        <f aca="false">(A70+(C70*D70*COS(RADIANS(E70))^2-F70*C70*D70)*TAN(RADIANS(B70)))/(C70*D70*SIN(RADIANS(E70))*COS(RADIANS(E70)))</f>
        <v>0.763145949256306</v>
      </c>
    </row>
    <row r="71" customFormat="false" ht="15" hidden="false" customHeight="false" outlineLevel="0" collapsed="false">
      <c r="A71" s="0" t="n">
        <v>15.467</v>
      </c>
      <c r="B71" s="0" t="n">
        <v>41.445</v>
      </c>
      <c r="C71" s="0" t="n">
        <v>21.447</v>
      </c>
      <c r="D71" s="0" t="n">
        <v>14.113</v>
      </c>
      <c r="E71" s="0" t="n">
        <v>23.63</v>
      </c>
      <c r="F71" s="0" t="n">
        <v>0.1279</v>
      </c>
      <c r="G71" s="12" t="n">
        <f aca="false">(A71+(C71*D71*COS(RADIANS(E71))^2-F71*C71*D71)*TAN(RADIANS(B71)))/(C71*D71*SIN(RADIANS(E71))*COS(RADIANS(E71)))</f>
        <v>1.84986716896021</v>
      </c>
    </row>
    <row r="72" customFormat="false" ht="15" hidden="false" customHeight="false" outlineLevel="0" collapsed="false">
      <c r="A72" s="0" t="n">
        <v>15.875</v>
      </c>
      <c r="B72" s="0" t="n">
        <v>29.804</v>
      </c>
      <c r="C72" s="0" t="n">
        <v>18.525</v>
      </c>
      <c r="D72" s="0" t="n">
        <v>18.467</v>
      </c>
      <c r="E72" s="0" t="n">
        <v>24.765</v>
      </c>
      <c r="F72" s="0" t="n">
        <v>0.1679</v>
      </c>
      <c r="G72" s="12" t="n">
        <f aca="false">(A72+(C72*D72*COS(RADIANS(E72))^2-F72*C72*D72)*TAN(RADIANS(B72)))/(C72*D72*SIN(RADIANS(E72))*COS(RADIANS(E72)))</f>
        <v>1.11079902649125</v>
      </c>
    </row>
    <row r="73" customFormat="false" ht="15" hidden="false" customHeight="false" outlineLevel="0" collapsed="false">
      <c r="A73" s="0" t="n">
        <v>18.486</v>
      </c>
      <c r="B73" s="0" t="n">
        <v>32.203</v>
      </c>
      <c r="C73" s="0" t="n">
        <v>18.556</v>
      </c>
      <c r="D73" s="0" t="n">
        <v>13.827</v>
      </c>
      <c r="E73" s="0" t="n">
        <v>29.273</v>
      </c>
      <c r="F73" s="0" t="n">
        <v>0.1088</v>
      </c>
      <c r="G73" s="12" t="n">
        <f aca="false">(A73+(C73*D73*COS(RADIANS(E73))^2-F73*C73*D73)*TAN(RADIANS(B73)))/(C73*D73*SIN(RADIANS(E73))*COS(RADIANS(E73)))</f>
        <v>1.13181048957443</v>
      </c>
    </row>
    <row r="74" customFormat="false" ht="15" hidden="false" customHeight="false" outlineLevel="0" collapsed="false">
      <c r="A74" s="0" t="n">
        <v>15.894</v>
      </c>
      <c r="B74" s="0" t="n">
        <v>38.065</v>
      </c>
      <c r="C74" s="0" t="n">
        <v>20.222</v>
      </c>
      <c r="D74" s="0" t="n">
        <v>15.588</v>
      </c>
      <c r="E74" s="0" t="n">
        <v>27.689</v>
      </c>
      <c r="F74" s="0" t="n">
        <v>0.2287</v>
      </c>
      <c r="G74" s="12" t="n">
        <f aca="false">(A74+(C74*D74*COS(RADIANS(E74))^2-F74*C74*D74)*TAN(RADIANS(B74)))/(C74*D74*SIN(RADIANS(E74))*COS(RADIANS(E74)))</f>
        <v>1.17957695024756</v>
      </c>
    </row>
    <row r="75" customFormat="false" ht="15" hidden="false" customHeight="false" outlineLevel="0" collapsed="false">
      <c r="A75" s="0" t="n">
        <v>17.716</v>
      </c>
      <c r="B75" s="0" t="n">
        <v>32.154</v>
      </c>
      <c r="C75" s="0" t="n">
        <v>19.99</v>
      </c>
      <c r="D75" s="0" t="n">
        <v>19.021</v>
      </c>
      <c r="E75" s="0" t="n">
        <v>24.885</v>
      </c>
      <c r="F75" s="0" t="n">
        <v>0.1588</v>
      </c>
      <c r="G75" s="12" t="n">
        <f aca="false">(A75+(C75*D75*COS(RADIANS(E75))^2-F75*C75*D75)*TAN(RADIANS(B75)))/(C75*D75*SIN(RADIANS(E75))*COS(RADIANS(E75)))</f>
        <v>1.21571280565819</v>
      </c>
    </row>
    <row r="76" customFormat="false" ht="15" hidden="false" customHeight="false" outlineLevel="0" collapsed="false">
      <c r="A76" s="0" t="n">
        <v>15.27</v>
      </c>
      <c r="B76" s="0" t="n">
        <v>37.192</v>
      </c>
      <c r="C76" s="0" t="n">
        <v>21.202</v>
      </c>
      <c r="D76" s="0" t="n">
        <v>14.125</v>
      </c>
      <c r="E76" s="0" t="n">
        <v>27.493</v>
      </c>
      <c r="F76" s="0" t="n">
        <v>0.0947</v>
      </c>
      <c r="G76" s="12" t="n">
        <f aca="false">(A76+(C76*D76*COS(RADIANS(E76))^2-F76*C76*D76)*TAN(RADIANS(B76)))/(C76*D76*SIN(RADIANS(E76))*COS(RADIANS(E76)))</f>
        <v>1.40714901025627</v>
      </c>
    </row>
    <row r="77" customFormat="false" ht="15" hidden="false" customHeight="false" outlineLevel="0" collapsed="false">
      <c r="A77" s="0" t="n">
        <v>16.156</v>
      </c>
      <c r="B77" s="0" t="n">
        <v>37.575</v>
      </c>
      <c r="C77" s="0" t="n">
        <v>19.66</v>
      </c>
      <c r="D77" s="0" t="n">
        <v>18.216</v>
      </c>
      <c r="E77" s="0" t="n">
        <v>28.996</v>
      </c>
      <c r="F77" s="0" t="n">
        <v>0.1457</v>
      </c>
      <c r="G77" s="12" t="n">
        <f aca="false">(A77+(C77*D77*COS(RADIANS(E77))^2-F77*C77*D77)*TAN(RADIANS(B77)))/(C77*D77*SIN(RADIANS(E77))*COS(RADIANS(E77)))</f>
        <v>1.23027792448765</v>
      </c>
    </row>
    <row r="78" customFormat="false" ht="15" hidden="false" customHeight="false" outlineLevel="0" collapsed="false">
      <c r="A78" s="0" t="n">
        <v>17.525</v>
      </c>
      <c r="B78" s="0" t="n">
        <v>41.206</v>
      </c>
      <c r="C78" s="0" t="n">
        <v>19.213</v>
      </c>
      <c r="D78" s="0" t="n">
        <v>14.779</v>
      </c>
      <c r="E78" s="0" t="n">
        <v>28.909</v>
      </c>
      <c r="F78" s="0" t="n">
        <v>0.2658</v>
      </c>
      <c r="G78" s="12" t="n">
        <f aca="false">(A78+(C78*D78*COS(RADIANS(E78))^2-F78*C78*D78)*TAN(RADIANS(B78)))/(C78*D78*SIN(RADIANS(E78))*COS(RADIANS(E78)))</f>
        <v>1.18146014918162</v>
      </c>
    </row>
    <row r="79" customFormat="false" ht="15" hidden="false" customHeight="false" outlineLevel="0" collapsed="false">
      <c r="A79" s="0" t="n">
        <v>9.171</v>
      </c>
      <c r="B79" s="0" t="n">
        <v>38.189</v>
      </c>
      <c r="C79" s="0" t="n">
        <v>20.582</v>
      </c>
      <c r="D79" s="0" t="n">
        <v>15.729</v>
      </c>
      <c r="E79" s="0" t="n">
        <v>25.625</v>
      </c>
      <c r="F79" s="0" t="n">
        <v>0</v>
      </c>
      <c r="G79" s="12" t="n">
        <f aca="false">(A79+(C79*D79*COS(RADIANS(E79))^2-F79*C79*D79)*TAN(RADIANS(B79)))/(C79*D79*SIN(RADIANS(E79))*COS(RADIANS(E79)))</f>
        <v>1.71259697317361</v>
      </c>
    </row>
    <row r="80" customFormat="false" ht="15" hidden="false" customHeight="false" outlineLevel="0" collapsed="false">
      <c r="A80" s="0" t="n">
        <v>13.721</v>
      </c>
      <c r="B80" s="0" t="n">
        <v>33.626</v>
      </c>
      <c r="C80" s="0" t="n">
        <v>19.458</v>
      </c>
      <c r="D80" s="0" t="n">
        <v>16.946</v>
      </c>
      <c r="E80" s="0" t="n">
        <v>29.418</v>
      </c>
      <c r="F80" s="0" t="n">
        <v>0.211</v>
      </c>
      <c r="G80" s="12" t="n">
        <f aca="false">(A80+(C80*D80*COS(RADIANS(E80))^2-F80*C80*D80)*TAN(RADIANS(B80)))/(C80*D80*SIN(RADIANS(E80))*COS(RADIANS(E80)))</f>
        <v>0.948688164558715</v>
      </c>
    </row>
    <row r="81" customFormat="false" ht="15" hidden="false" customHeight="false" outlineLevel="0" collapsed="false">
      <c r="A81" s="0" t="n">
        <v>13.119</v>
      </c>
      <c r="B81" s="0" t="n">
        <v>32.791</v>
      </c>
      <c r="C81" s="0" t="n">
        <v>19.353</v>
      </c>
      <c r="D81" s="0" t="n">
        <v>15.797</v>
      </c>
      <c r="E81" s="0" t="n">
        <v>27.663</v>
      </c>
      <c r="F81" s="0" t="n">
        <v>0.2502</v>
      </c>
      <c r="G81" s="12" t="n">
        <f aca="false">(A81+(C81*D81*COS(RADIANS(E81))^2-F81*C81*D81)*TAN(RADIANS(B81)))/(C81*D81*SIN(RADIANS(E81))*COS(RADIANS(E81)))</f>
        <v>0.941378299722447</v>
      </c>
    </row>
    <row r="82" customFormat="false" ht="15" hidden="false" customHeight="false" outlineLevel="0" collapsed="false">
      <c r="A82" s="0" t="n">
        <v>12.444</v>
      </c>
      <c r="B82" s="0" t="n">
        <v>31.832</v>
      </c>
      <c r="C82" s="0" t="n">
        <v>19.432</v>
      </c>
      <c r="D82" s="0" t="n">
        <v>6.25</v>
      </c>
      <c r="E82" s="0" t="n">
        <v>27.204</v>
      </c>
      <c r="F82" s="0" t="n">
        <v>0.2151</v>
      </c>
      <c r="G82" s="12" t="n">
        <f aca="false">(A82+(C82*D82*COS(RADIANS(E82))^2-F82*C82*D82)*TAN(RADIANS(B82)))/(C82*D82*SIN(RADIANS(E82))*COS(RADIANS(E82)))</f>
        <v>1.13131723106224</v>
      </c>
    </row>
    <row r="83" customFormat="false" ht="15" hidden="false" customHeight="false" outlineLevel="0" collapsed="false">
      <c r="A83" s="0" t="n">
        <v>13.899</v>
      </c>
      <c r="B83" s="0" t="n">
        <v>31.651</v>
      </c>
      <c r="C83" s="0" t="n">
        <v>21.405</v>
      </c>
      <c r="D83" s="0" t="n">
        <v>15.138</v>
      </c>
      <c r="E83" s="0" t="n">
        <v>25.498</v>
      </c>
      <c r="F83" s="0" t="n">
        <v>0.3034</v>
      </c>
      <c r="G83" s="12" t="n">
        <f aca="false">(A83+(C83*D83*COS(RADIANS(E83))^2-F83*C83*D83)*TAN(RADIANS(B83)))/(C83*D83*SIN(RADIANS(E83))*COS(RADIANS(E83)))</f>
        <v>0.92154715341023</v>
      </c>
    </row>
    <row r="84" customFormat="false" ht="15" hidden="false" customHeight="false" outlineLevel="0" collapsed="false">
      <c r="A84" s="0" t="n">
        <v>20.98</v>
      </c>
      <c r="B84" s="0" t="n">
        <v>36.182</v>
      </c>
      <c r="C84" s="0" t="n">
        <v>20.642</v>
      </c>
      <c r="D84" s="0" t="n">
        <v>16.965</v>
      </c>
      <c r="E84" s="0" t="n">
        <v>33.423</v>
      </c>
      <c r="F84" s="0" t="n">
        <v>0.2019</v>
      </c>
      <c r="G84" s="12" t="n">
        <f aca="false">(A84+(C84*D84*COS(RADIANS(E84))^2-F84*C84*D84)*TAN(RADIANS(B84)))/(C84*D84*SIN(RADIANS(E84))*COS(RADIANS(E84)))</f>
        <v>0.917370023872565</v>
      </c>
    </row>
    <row r="85" customFormat="false" ht="15" hidden="false" customHeight="false" outlineLevel="0" collapsed="false">
      <c r="A85" s="0" t="n">
        <v>11.537</v>
      </c>
      <c r="B85" s="0" t="n">
        <v>29.668</v>
      </c>
      <c r="C85" s="0" t="n">
        <v>19.532</v>
      </c>
      <c r="D85" s="0" t="n">
        <v>19.578</v>
      </c>
      <c r="E85" s="0" t="n">
        <v>25.079</v>
      </c>
      <c r="F85" s="0" t="n">
        <v>0.2442</v>
      </c>
      <c r="G85" s="12" t="n">
        <f aca="false">(A85+(C85*D85*COS(RADIANS(E85))^2-F85*C85*D85)*TAN(RADIANS(B85)))/(C85*D85*SIN(RADIANS(E85))*COS(RADIANS(E85)))</f>
        <v>0.933471337746616</v>
      </c>
    </row>
    <row r="86" customFormat="false" ht="15" hidden="false" customHeight="false" outlineLevel="0" collapsed="false">
      <c r="A86" s="0" t="n">
        <v>18.873</v>
      </c>
      <c r="B86" s="0" t="n">
        <v>35.484</v>
      </c>
      <c r="C86" s="0" t="n">
        <v>21.451</v>
      </c>
      <c r="D86" s="0" t="n">
        <v>11.866</v>
      </c>
      <c r="E86" s="0" t="n">
        <v>28.958</v>
      </c>
      <c r="F86" s="0" t="n">
        <v>0.074</v>
      </c>
      <c r="G86" s="12" t="n">
        <f aca="false">(A86+(C86*D86*COS(RADIANS(E86))^2-F86*C86*D86)*TAN(RADIANS(B86)))/(C86*D86*SIN(RADIANS(E86))*COS(RADIANS(E86)))</f>
        <v>1.33878136067204</v>
      </c>
    </row>
    <row r="87" customFormat="false" ht="15" hidden="false" customHeight="false" outlineLevel="0" collapsed="false">
      <c r="A87" s="0" t="n">
        <v>8.269</v>
      </c>
      <c r="B87" s="0" t="n">
        <v>29.213</v>
      </c>
      <c r="C87" s="0" t="n">
        <v>20.409</v>
      </c>
      <c r="D87" s="0" t="n">
        <v>18.352</v>
      </c>
      <c r="E87" s="0" t="n">
        <v>27.763</v>
      </c>
      <c r="F87" s="0" t="n">
        <v>0.1557</v>
      </c>
      <c r="G87" s="12" t="n">
        <f aca="false">(A87+(C87*D87*COS(RADIANS(E87))^2-F87*C87*D87)*TAN(RADIANS(B87)))/(C87*D87*SIN(RADIANS(E87))*COS(RADIANS(E87)))</f>
        <v>0.904577778003021</v>
      </c>
    </row>
    <row r="88" customFormat="false" ht="15" hidden="false" customHeight="false" outlineLevel="0" collapsed="false">
      <c r="A88" s="0" t="n">
        <v>13.66</v>
      </c>
      <c r="B88" s="0" t="n">
        <v>35.772</v>
      </c>
      <c r="C88" s="0" t="n">
        <v>19.329</v>
      </c>
      <c r="D88" s="0" t="n">
        <v>18.382</v>
      </c>
      <c r="E88" s="0" t="n">
        <v>24.331</v>
      </c>
      <c r="F88" s="0" t="n">
        <v>0.1746</v>
      </c>
      <c r="G88" s="12" t="n">
        <f aca="false">(A88+(C88*D88*COS(RADIANS(E88))^2-F88*C88*D88)*TAN(RADIANS(B88)))/(C88*D88*SIN(RADIANS(E88))*COS(RADIANS(E88)))</f>
        <v>1.36071024656556</v>
      </c>
    </row>
    <row r="89" customFormat="false" ht="15" hidden="false" customHeight="false" outlineLevel="0" collapsed="false">
      <c r="A89" s="0" t="n">
        <v>15.651</v>
      </c>
      <c r="B89" s="0" t="n">
        <v>33.358</v>
      </c>
      <c r="C89" s="0" t="n">
        <v>20.118</v>
      </c>
      <c r="D89" s="0" t="n">
        <v>15.45</v>
      </c>
      <c r="E89" s="0" t="n">
        <v>31.79</v>
      </c>
      <c r="F89" s="0" t="n">
        <v>0.0868</v>
      </c>
      <c r="G89" s="12" t="n">
        <f aca="false">(A89+(C89*D89*COS(RADIANS(E89))^2-F89*C89*D89)*TAN(RADIANS(B89)))/(C89*D89*SIN(RADIANS(E89))*COS(RADIANS(E89)))</f>
        <v>1.0470246566792</v>
      </c>
    </row>
    <row r="90" customFormat="false" ht="15" hidden="false" customHeight="false" outlineLevel="0" collapsed="false">
      <c r="A90" s="0" t="n">
        <v>17.345</v>
      </c>
      <c r="B90" s="0" t="n">
        <v>36.899</v>
      </c>
      <c r="C90" s="0" t="n">
        <v>20.918</v>
      </c>
      <c r="D90" s="0" t="n">
        <v>15.997</v>
      </c>
      <c r="E90" s="0" t="n">
        <v>25.188</v>
      </c>
      <c r="F90" s="0" t="n">
        <v>0.2252</v>
      </c>
      <c r="G90" s="12" t="n">
        <f aca="false">(A90+(C90*D90*COS(RADIANS(E90))^2-F90*C90*D90)*TAN(RADIANS(B90)))/(C90*D90*SIN(RADIANS(E90))*COS(RADIANS(E90)))</f>
        <v>1.29195178026869</v>
      </c>
    </row>
    <row r="91" customFormat="false" ht="15" hidden="false" customHeight="false" outlineLevel="0" collapsed="false">
      <c r="A91" s="0" t="n">
        <v>17.845</v>
      </c>
      <c r="B91" s="0" t="n">
        <v>26.896</v>
      </c>
      <c r="C91" s="0" t="n">
        <v>19.091</v>
      </c>
      <c r="D91" s="0" t="n">
        <v>15.722</v>
      </c>
      <c r="E91" s="0" t="n">
        <v>25.166</v>
      </c>
      <c r="F91" s="0" t="n">
        <v>0.1315</v>
      </c>
      <c r="G91" s="12" t="n">
        <f aca="false">(A91+(C91*D91*COS(RADIANS(E91))^2-F91*C91*D91)*TAN(RADIANS(B91)))/(C91*D91*SIN(RADIANS(E91))*COS(RADIANS(E91)))</f>
        <v>1.06077197607971</v>
      </c>
    </row>
    <row r="92" customFormat="false" ht="15" hidden="false" customHeight="false" outlineLevel="0" collapsed="false">
      <c r="A92" s="0" t="n">
        <v>18.173</v>
      </c>
      <c r="B92" s="0" t="n">
        <v>37.84</v>
      </c>
      <c r="C92" s="0" t="n">
        <v>20.258</v>
      </c>
      <c r="D92" s="0" t="n">
        <v>18.036</v>
      </c>
      <c r="E92" s="0" t="n">
        <v>28.515</v>
      </c>
      <c r="F92" s="0" t="n">
        <v>0.1185</v>
      </c>
      <c r="G92" s="12" t="n">
        <f aca="false">(A92+(C92*D92*COS(RADIANS(E92))^2-F92*C92*D92)*TAN(RADIANS(B92)))/(C92*D92*SIN(RADIANS(E92))*COS(RADIANS(E92)))</f>
        <v>1.3289224382504</v>
      </c>
    </row>
    <row r="93" customFormat="false" ht="15" hidden="false" customHeight="false" outlineLevel="0" collapsed="false">
      <c r="A93" s="0" t="n">
        <v>13.605</v>
      </c>
      <c r="B93" s="0" t="n">
        <v>35.032</v>
      </c>
      <c r="C93" s="0" t="n">
        <v>18.724</v>
      </c>
      <c r="D93" s="0" t="n">
        <v>16.601</v>
      </c>
      <c r="E93" s="0" t="n">
        <v>30.302</v>
      </c>
      <c r="F93" s="0" t="n">
        <v>0.0863</v>
      </c>
      <c r="G93" s="12" t="n">
        <f aca="false">(A93+(C93*D93*COS(RADIANS(E93))^2-F93*C93*D93)*TAN(RADIANS(B93)))/(C93*D93*SIN(RADIANS(E93))*COS(RADIANS(E93)))</f>
        <v>1.16118372649436</v>
      </c>
    </row>
    <row r="94" customFormat="false" ht="15" hidden="false" customHeight="false" outlineLevel="0" collapsed="false">
      <c r="A94" s="0" t="n">
        <v>13.151</v>
      </c>
      <c r="B94" s="0" t="n">
        <v>33.595</v>
      </c>
      <c r="C94" s="0" t="n">
        <v>21.34</v>
      </c>
      <c r="D94" s="0" t="n">
        <v>13.26</v>
      </c>
      <c r="E94" s="0" t="n">
        <v>26.343</v>
      </c>
      <c r="F94" s="0" t="n">
        <v>0.0284</v>
      </c>
      <c r="G94" s="12" t="n">
        <f aca="false">(A94+(C94*D94*COS(RADIANS(E94))^2-F94*C94*D94)*TAN(RADIANS(B94)))/(C94*D94*SIN(RADIANS(E94))*COS(RADIANS(E94)))</f>
        <v>1.41094812894128</v>
      </c>
    </row>
    <row r="95" customFormat="false" ht="15" hidden="false" customHeight="false" outlineLevel="0" collapsed="false">
      <c r="A95" s="0" t="n">
        <v>18.432</v>
      </c>
      <c r="B95" s="0" t="n">
        <v>36.569</v>
      </c>
      <c r="C95" s="0" t="n">
        <v>19.503</v>
      </c>
      <c r="D95" s="0" t="n">
        <v>16.505</v>
      </c>
      <c r="E95" s="0" t="n">
        <v>29.08</v>
      </c>
      <c r="F95" s="0" t="n">
        <v>0.187</v>
      </c>
      <c r="G95" s="12" t="n">
        <f aca="false">(A95+(C95*D95*COS(RADIANS(E95))^2-F95*C95*D95)*TAN(RADIANS(B95)))/(C95*D95*SIN(RADIANS(E95))*COS(RADIANS(E95)))</f>
        <v>1.14211432136043</v>
      </c>
    </row>
    <row r="96" customFormat="false" ht="15" hidden="false" customHeight="false" outlineLevel="0" collapsed="false">
      <c r="A96" s="0" t="n">
        <v>14.235</v>
      </c>
      <c r="B96" s="0" t="n">
        <v>36.336</v>
      </c>
      <c r="C96" s="0" t="n">
        <v>20.392</v>
      </c>
      <c r="D96" s="0" t="n">
        <v>19.172</v>
      </c>
      <c r="E96" s="0" t="n">
        <v>30.156</v>
      </c>
      <c r="F96" s="0" t="n">
        <v>0.1628</v>
      </c>
      <c r="G96" s="12" t="n">
        <f aca="false">(A96+(C96*D96*COS(RADIANS(E96))^2-F96*C96*D96)*TAN(RADIANS(B96)))/(C96*D96*SIN(RADIANS(E96))*COS(RADIANS(E96)))</f>
        <v>1.07416682296387</v>
      </c>
    </row>
    <row r="97" customFormat="false" ht="15" hidden="false" customHeight="false" outlineLevel="0" collapsed="false">
      <c r="A97" s="0" t="n">
        <v>9.897</v>
      </c>
      <c r="B97" s="0" t="n">
        <v>30.868</v>
      </c>
      <c r="C97" s="0" t="n">
        <v>20.18</v>
      </c>
      <c r="D97" s="0" t="n">
        <v>8.217</v>
      </c>
      <c r="E97" s="0" t="n">
        <v>28.491</v>
      </c>
      <c r="F97" s="0" t="n">
        <v>0.1886</v>
      </c>
      <c r="G97" s="12" t="n">
        <f aca="false">(A97+(C97*D97*COS(RADIANS(E97))^2-F97*C97*D97)*TAN(RADIANS(B97)))/(C97*D97*SIN(RADIANS(E97))*COS(RADIANS(E97)))</f>
        <v>0.974766475684066</v>
      </c>
    </row>
    <row r="98" customFormat="false" ht="15" hidden="false" customHeight="false" outlineLevel="0" collapsed="false">
      <c r="A98" s="0" t="n">
        <v>10.467</v>
      </c>
      <c r="B98" s="0" t="n">
        <v>35.471</v>
      </c>
      <c r="C98" s="0" t="n">
        <v>21.386</v>
      </c>
      <c r="D98" s="0" t="n">
        <v>15.099</v>
      </c>
      <c r="E98" s="0" t="n">
        <v>26.835</v>
      </c>
      <c r="F98" s="0" t="n">
        <v>0.1996</v>
      </c>
      <c r="G98" s="12" t="n">
        <f aca="false">(A98+(C98*D98*COS(RADIANS(E98))^2-F98*C98*D98)*TAN(RADIANS(B98)))/(C98*D98*SIN(RADIANS(E98))*COS(RADIANS(E98)))</f>
        <v>1.13582982924396</v>
      </c>
    </row>
    <row r="99" customFormat="false" ht="15" hidden="false" customHeight="false" outlineLevel="0" collapsed="false">
      <c r="A99" s="0" t="n">
        <v>11.322</v>
      </c>
      <c r="B99" s="0" t="n">
        <v>37.197</v>
      </c>
      <c r="C99" s="0" t="n">
        <v>19.679</v>
      </c>
      <c r="D99" s="0" t="n">
        <v>13.482</v>
      </c>
      <c r="E99" s="0" t="n">
        <v>26.878</v>
      </c>
      <c r="F99" s="0" t="n">
        <v>0</v>
      </c>
      <c r="G99" s="12" t="n">
        <f aca="false">(A99+(C99*D99*COS(RADIANS(E99))^2-F99*C99*D99)*TAN(RADIANS(B99)))/(C99*D99*SIN(RADIANS(E99))*COS(RADIANS(E99)))</f>
        <v>1.60323914837687</v>
      </c>
    </row>
    <row r="100" customFormat="false" ht="15" hidden="false" customHeight="false" outlineLevel="0" collapsed="false">
      <c r="A100" s="0" t="n">
        <v>16.989</v>
      </c>
      <c r="B100" s="0" t="n">
        <v>30.221</v>
      </c>
      <c r="C100" s="0" t="n">
        <v>19.974</v>
      </c>
      <c r="D100" s="0" t="n">
        <v>19.928</v>
      </c>
      <c r="E100" s="0" t="n">
        <v>27.669</v>
      </c>
      <c r="F100" s="0" t="n">
        <v>0.2486</v>
      </c>
      <c r="G100" s="12" t="n">
        <f aca="false">(A100+(C100*D100*COS(RADIANS(E100))^2-F100*C100*D100)*TAN(RADIANS(B100)))/(C100*D100*SIN(RADIANS(E100))*COS(RADIANS(E100)))</f>
        <v>0.862635919134084</v>
      </c>
    </row>
    <row r="101" customFormat="false" ht="15" hidden="false" customHeight="false" outlineLevel="0" collapsed="false">
      <c r="A101" s="0" t="n">
        <v>15.57</v>
      </c>
      <c r="B101" s="0" t="n">
        <v>35.612</v>
      </c>
      <c r="C101" s="0" t="n">
        <v>20.892</v>
      </c>
      <c r="D101" s="0" t="n">
        <v>17.819</v>
      </c>
      <c r="E101" s="0" t="n">
        <v>28.939</v>
      </c>
      <c r="F101" s="0" t="n">
        <v>0.2032</v>
      </c>
      <c r="G101" s="12" t="n">
        <f aca="false">(A101+(C101*D101*COS(RADIANS(E101))^2-F101*C101*D101)*TAN(RADIANS(B101)))/(C101*D101*SIN(RADIANS(E101))*COS(RADIANS(E101)))</f>
        <v>1.05046462431162</v>
      </c>
    </row>
    <row r="102" customFormat="false" ht="15" hidden="false" customHeight="false" outlineLevel="0" collapsed="false">
      <c r="A102" s="0" t="n">
        <v>17.762</v>
      </c>
      <c r="B102" s="0" t="n">
        <v>38.612</v>
      </c>
      <c r="C102" s="0" t="n">
        <v>22.16</v>
      </c>
      <c r="D102" s="0" t="n">
        <v>14.827</v>
      </c>
      <c r="E102" s="0" t="n">
        <v>29.647</v>
      </c>
      <c r="F102" s="0" t="n">
        <v>0.0773</v>
      </c>
      <c r="G102" s="12" t="n">
        <f aca="false">(A102+(C102*D102*COS(RADIANS(E102))^2-F102*C102*D102)*TAN(RADIANS(B102)))/(C102*D102*SIN(RADIANS(E102))*COS(RADIANS(E102)))</f>
        <v>1.38531265727447</v>
      </c>
    </row>
    <row r="103" customFormat="false" ht="15" hidden="false" customHeight="false" outlineLevel="0" collapsed="false">
      <c r="A103" s="0" t="n">
        <v>13.291</v>
      </c>
      <c r="B103" s="0" t="n">
        <v>35.513</v>
      </c>
      <c r="C103" s="0" t="n">
        <v>20.913</v>
      </c>
      <c r="D103" s="0" t="n">
        <v>14.098</v>
      </c>
      <c r="E103" s="0" t="n">
        <v>28.273</v>
      </c>
      <c r="F103" s="0" t="n">
        <v>0.1262</v>
      </c>
      <c r="G103" s="12" t="n">
        <f aca="false">(A103+(C103*D103*COS(RADIANS(E103))^2-F103*C103*D103)*TAN(RADIANS(B103)))/(C103*D103*SIN(RADIANS(E103))*COS(RADIANS(E103)))</f>
        <v>1.2190372719359</v>
      </c>
    </row>
    <row r="104" customFormat="false" ht="15" hidden="false" customHeight="false" outlineLevel="0" collapsed="false">
      <c r="A104" s="0" t="n">
        <v>15.634</v>
      </c>
      <c r="B104" s="0" t="n">
        <v>33.589</v>
      </c>
      <c r="C104" s="0" t="n">
        <v>20.522</v>
      </c>
      <c r="D104" s="0" t="n">
        <v>16.742</v>
      </c>
      <c r="E104" s="0" t="n">
        <v>28.049</v>
      </c>
      <c r="F104" s="0" t="n">
        <v>0.0902</v>
      </c>
      <c r="G104" s="12" t="n">
        <f aca="false">(A104+(C104*D104*COS(RADIANS(E104))^2-F104*C104*D104)*TAN(RADIANS(B104)))/(C104*D104*SIN(RADIANS(E104))*COS(RADIANS(E104)))</f>
        <v>1.21175828997189</v>
      </c>
    </row>
    <row r="105" customFormat="false" ht="15" hidden="false" customHeight="false" outlineLevel="0" collapsed="false">
      <c r="A105" s="0" t="n">
        <v>17.502</v>
      </c>
      <c r="B105" s="0" t="n">
        <v>30.892</v>
      </c>
      <c r="C105" s="0" t="n">
        <v>20.187</v>
      </c>
      <c r="D105" s="0" t="n">
        <v>16.214</v>
      </c>
      <c r="E105" s="0" t="n">
        <v>29.305</v>
      </c>
      <c r="F105" s="0" t="n">
        <v>0.3514</v>
      </c>
      <c r="G105" s="12" t="n">
        <f aca="false">(A105+(C105*D105*COS(RADIANS(E105))^2-F105*C105*D105)*TAN(RADIANS(B105)))/(C105*D105*SIN(RADIANS(E105))*COS(RADIANS(E105)))</f>
        <v>0.698639595296365</v>
      </c>
    </row>
    <row r="106" customFormat="false" ht="15" hidden="false" customHeight="false" outlineLevel="0" collapsed="false">
      <c r="A106" s="0" t="n">
        <v>13.763</v>
      </c>
      <c r="B106" s="0" t="n">
        <v>31.7</v>
      </c>
      <c r="C106" s="0" t="n">
        <v>18.358</v>
      </c>
      <c r="D106" s="0" t="n">
        <v>15.11</v>
      </c>
      <c r="E106" s="0" t="n">
        <v>26.658</v>
      </c>
      <c r="F106" s="0" t="n">
        <v>0.291</v>
      </c>
      <c r="G106" s="12" t="n">
        <f aca="false">(A106+(C106*D106*COS(RADIANS(E106))^2-F106*C106*D106)*TAN(RADIANS(B106)))/(C106*D106*SIN(RADIANS(E106))*COS(RADIANS(E106)))</f>
        <v>0.905746892432202</v>
      </c>
    </row>
    <row r="107" customFormat="false" ht="15" hidden="false" customHeight="false" outlineLevel="0" collapsed="false">
      <c r="A107" s="0" t="n">
        <v>16.827</v>
      </c>
      <c r="B107" s="0" t="n">
        <v>33.785</v>
      </c>
      <c r="C107" s="0" t="n">
        <v>19.153</v>
      </c>
      <c r="D107" s="0" t="n">
        <v>19.477</v>
      </c>
      <c r="E107" s="0" t="n">
        <v>25.199</v>
      </c>
      <c r="F107" s="0" t="n">
        <v>0.1417</v>
      </c>
      <c r="G107" s="12" t="n">
        <f aca="false">(A107+(C107*D107*COS(RADIANS(E107))^2-F107*C107*D107)*TAN(RADIANS(B107)))/(C107*D107*SIN(RADIANS(E107))*COS(RADIANS(E107)))</f>
        <v>1.29288935467107</v>
      </c>
    </row>
    <row r="108" customFormat="false" ht="15" hidden="false" customHeight="false" outlineLevel="0" collapsed="false">
      <c r="A108" s="0" t="n">
        <v>12.352</v>
      </c>
      <c r="B108" s="0" t="n">
        <v>37.33</v>
      </c>
      <c r="C108" s="0" t="n">
        <v>19.922</v>
      </c>
      <c r="D108" s="0" t="n">
        <v>15.859</v>
      </c>
      <c r="E108" s="0" t="n">
        <v>29.038</v>
      </c>
      <c r="F108" s="0" t="n">
        <v>0</v>
      </c>
      <c r="G108" s="12" t="n">
        <f aca="false">(A108+(C108*D108*COS(RADIANS(E108))^2-F108*C108*D108)*TAN(RADIANS(B108)))/(C108*D108*SIN(RADIANS(E108))*COS(RADIANS(E108)))</f>
        <v>1.4657853517778</v>
      </c>
    </row>
    <row r="109" customFormat="false" ht="15" hidden="false" customHeight="false" outlineLevel="0" collapsed="false">
      <c r="A109" s="0" t="n">
        <v>13.548</v>
      </c>
      <c r="B109" s="0" t="n">
        <v>36.778</v>
      </c>
      <c r="C109" s="0" t="n">
        <v>21.462</v>
      </c>
      <c r="D109" s="0" t="n">
        <v>13.805</v>
      </c>
      <c r="E109" s="0" t="n">
        <v>30.019</v>
      </c>
      <c r="F109" s="0" t="n">
        <v>0.2652</v>
      </c>
      <c r="G109" s="12" t="n">
        <f aca="false">(A109+(C109*D109*COS(RADIANS(E109))^2-F109*C109*D109)*TAN(RADIANS(B109)))/(C109*D109*SIN(RADIANS(E109))*COS(RADIANS(E109)))</f>
        <v>0.941640522205284</v>
      </c>
    </row>
    <row r="110" customFormat="false" ht="15" hidden="false" customHeight="false" outlineLevel="0" collapsed="false">
      <c r="A110" s="0" t="n">
        <v>13.473</v>
      </c>
      <c r="B110" s="0" t="n">
        <v>33.799</v>
      </c>
      <c r="C110" s="0" t="n">
        <v>18.544</v>
      </c>
      <c r="D110" s="0" t="n">
        <v>9.374</v>
      </c>
      <c r="E110" s="0" t="n">
        <v>24.691</v>
      </c>
      <c r="F110" s="0" t="n">
        <v>0.1159</v>
      </c>
      <c r="G110" s="12" t="n">
        <f aca="false">(A110+(C110*D110*COS(RADIANS(E110))^2-F110*C110*D110)*TAN(RADIANS(B110)))/(C110*D110*SIN(RADIANS(E110))*COS(RADIANS(E110)))</f>
        <v>1.4558091883441</v>
      </c>
    </row>
    <row r="111" customFormat="false" ht="15" hidden="false" customHeight="false" outlineLevel="0" collapsed="false">
      <c r="A111" s="0" t="n">
        <v>10.217</v>
      </c>
      <c r="B111" s="0" t="n">
        <v>32.519</v>
      </c>
      <c r="C111" s="0" t="n">
        <v>19.936</v>
      </c>
      <c r="D111" s="0" t="n">
        <v>15.483</v>
      </c>
      <c r="E111" s="0" t="n">
        <v>25.825</v>
      </c>
      <c r="F111" s="0" t="n">
        <v>0.1069</v>
      </c>
      <c r="G111" s="12" t="n">
        <f aca="false">(A111+(C111*D111*COS(RADIANS(E111))^2-F111*C111*D111)*TAN(RADIANS(B111)))/(C111*D111*SIN(RADIANS(E111))*COS(RADIANS(E111)))</f>
        <v>1.22794772326533</v>
      </c>
    </row>
    <row r="112" customFormat="false" ht="15" hidden="false" customHeight="false" outlineLevel="0" collapsed="false">
      <c r="A112" s="0" t="n">
        <v>16.948</v>
      </c>
      <c r="B112" s="0" t="n">
        <v>33.167</v>
      </c>
      <c r="C112" s="0" t="n">
        <v>18.061</v>
      </c>
      <c r="D112" s="0" t="n">
        <v>18.866</v>
      </c>
      <c r="E112" s="0" t="n">
        <v>25.71</v>
      </c>
      <c r="F112" s="0" t="n">
        <v>0.2283</v>
      </c>
      <c r="G112" s="12" t="n">
        <f aca="false">(A112+(C112*D112*COS(RADIANS(E112))^2-F112*C112*D112)*TAN(RADIANS(B112)))/(C112*D112*SIN(RADIANS(E112))*COS(RADIANS(E112)))</f>
        <v>1.10290908550792</v>
      </c>
    </row>
    <row r="113" customFormat="false" ht="15" hidden="false" customHeight="false" outlineLevel="0" collapsed="false">
      <c r="A113" s="0" t="n">
        <v>13.122</v>
      </c>
      <c r="B113" s="0" t="n">
        <v>38.465</v>
      </c>
      <c r="C113" s="0" t="n">
        <v>19.868</v>
      </c>
      <c r="D113" s="0" t="n">
        <v>15.256</v>
      </c>
      <c r="E113" s="0" t="n">
        <v>25.293</v>
      </c>
      <c r="F113" s="0" t="n">
        <v>0.0843</v>
      </c>
      <c r="G113" s="12" t="n">
        <f aca="false">(A113+(C113*D113*COS(RADIANS(E113))^2-F113*C113*D113)*TAN(RADIANS(B113)))/(C113*D113*SIN(RADIANS(E113))*COS(RADIANS(E113)))</f>
        <v>1.61988053232399</v>
      </c>
    </row>
    <row r="114" customFormat="false" ht="15" hidden="false" customHeight="false" outlineLevel="0" collapsed="false">
      <c r="A114" s="0" t="n">
        <v>15.05</v>
      </c>
      <c r="B114" s="0" t="n">
        <v>30.418</v>
      </c>
      <c r="C114" s="0" t="n">
        <v>18.829</v>
      </c>
      <c r="D114" s="0" t="n">
        <v>9.913</v>
      </c>
      <c r="E114" s="0" t="n">
        <v>27.926</v>
      </c>
      <c r="F114" s="0" t="n">
        <v>0.1609</v>
      </c>
      <c r="G114" s="12" t="n">
        <f aca="false">(A114+(C114*D114*COS(RADIANS(E114))^2-F114*C114*D114)*TAN(RADIANS(B114)))/(C114*D114*SIN(RADIANS(E114))*COS(RADIANS(E114)))</f>
        <v>1.07422194349833</v>
      </c>
    </row>
    <row r="115" customFormat="false" ht="15" hidden="false" customHeight="false" outlineLevel="0" collapsed="false">
      <c r="A115" s="0" t="n">
        <v>16.923</v>
      </c>
      <c r="B115" s="0" t="n">
        <v>35.048</v>
      </c>
      <c r="C115" s="0" t="n">
        <v>19.796</v>
      </c>
      <c r="D115" s="0" t="n">
        <v>18.428</v>
      </c>
      <c r="E115" s="0" t="n">
        <v>25.805</v>
      </c>
      <c r="F115" s="0" t="n">
        <v>0.141</v>
      </c>
      <c r="G115" s="12" t="n">
        <f aca="false">(A115+(C115*D115*COS(RADIANS(E115))^2-F115*C115*D115)*TAN(RADIANS(B115)))/(C115*D115*SIN(RADIANS(E115))*COS(RADIANS(E115)))</f>
        <v>1.3167074717781</v>
      </c>
    </row>
    <row r="116" customFormat="false" ht="15" hidden="false" customHeight="false" outlineLevel="0" collapsed="false">
      <c r="A116" s="0" t="n">
        <v>16.786</v>
      </c>
      <c r="B116" s="0" t="n">
        <v>33.364</v>
      </c>
      <c r="C116" s="0" t="n">
        <v>17.947</v>
      </c>
      <c r="D116" s="0" t="n">
        <v>12.8</v>
      </c>
      <c r="E116" s="0" t="n">
        <v>27.61</v>
      </c>
      <c r="F116" s="0" t="n">
        <v>0.2891</v>
      </c>
      <c r="G116" s="12" t="n">
        <f aca="false">(A116+(C116*D116*COS(RADIANS(E116))^2-F116*C116*D116)*TAN(RADIANS(B116)))/(C116*D116*SIN(RADIANS(E116))*COS(RADIANS(E116)))</f>
        <v>0.973400701530288</v>
      </c>
    </row>
    <row r="117" customFormat="false" ht="15" hidden="false" customHeight="false" outlineLevel="0" collapsed="false">
      <c r="A117" s="0" t="n">
        <v>17.662</v>
      </c>
      <c r="B117" s="0" t="n">
        <v>36.908</v>
      </c>
      <c r="C117" s="0" t="n">
        <v>18.83</v>
      </c>
      <c r="D117" s="0" t="n">
        <v>15.302</v>
      </c>
      <c r="E117" s="0" t="n">
        <v>26.703</v>
      </c>
      <c r="F117" s="0" t="n">
        <v>0.2477</v>
      </c>
      <c r="G117" s="12" t="n">
        <f aca="false">(A117+(C117*D117*COS(RADIANS(E117))^2-F117*C117*D117)*TAN(RADIANS(B117)))/(C117*D117*SIN(RADIANS(E117))*COS(RADIANS(E117)))</f>
        <v>1.18236180300632</v>
      </c>
    </row>
    <row r="118" customFormat="false" ht="15" hidden="false" customHeight="false" outlineLevel="0" collapsed="false">
      <c r="A118" s="0" t="n">
        <v>14.606</v>
      </c>
      <c r="B118" s="0" t="n">
        <v>34.257</v>
      </c>
      <c r="C118" s="0" t="n">
        <v>20.732</v>
      </c>
      <c r="D118" s="0" t="n">
        <v>10.58</v>
      </c>
      <c r="E118" s="0" t="n">
        <v>27.967</v>
      </c>
      <c r="F118" s="0" t="n">
        <v>0.254</v>
      </c>
      <c r="G118" s="12" t="n">
        <f aca="false">(A118+(C118*D118*COS(RADIANS(E118))^2-F118*C118*D118)*TAN(RADIANS(B118)))/(C118*D118*SIN(RADIANS(E118))*COS(RADIANS(E118)))</f>
        <v>1.0257795680654</v>
      </c>
    </row>
    <row r="119" customFormat="false" ht="15" hidden="false" customHeight="false" outlineLevel="0" collapsed="false">
      <c r="A119" s="0" t="n">
        <v>13.307</v>
      </c>
      <c r="B119" s="0" t="n">
        <v>31.104</v>
      </c>
      <c r="C119" s="0" t="n">
        <v>19.671</v>
      </c>
      <c r="D119" s="0" t="n">
        <v>6.625</v>
      </c>
      <c r="E119" s="0" t="n">
        <v>26.425</v>
      </c>
      <c r="F119" s="0" t="n">
        <v>0.1055</v>
      </c>
      <c r="G119" s="12" t="n">
        <f aca="false">(A119+(C119*D119*COS(RADIANS(E119))^2-F119*C119*D119)*TAN(RADIANS(B119)))/(C119*D119*SIN(RADIANS(E119))*COS(RADIANS(E119)))</f>
        <v>1.31057805302734</v>
      </c>
    </row>
    <row r="120" customFormat="false" ht="15" hidden="false" customHeight="false" outlineLevel="0" collapsed="false">
      <c r="A120" s="0" t="n">
        <v>14.681</v>
      </c>
      <c r="B120" s="0" t="n">
        <v>39.612</v>
      </c>
      <c r="C120" s="0" t="n">
        <v>19.914</v>
      </c>
      <c r="D120" s="0" t="n">
        <v>16.168</v>
      </c>
      <c r="E120" s="0" t="n">
        <v>27.489</v>
      </c>
      <c r="F120" s="0" t="n">
        <v>0.1331</v>
      </c>
      <c r="G120" s="12" t="n">
        <f aca="false">(A120+(C120*D120*COS(RADIANS(E120))^2-F120*C120*D120)*TAN(RADIANS(B120)))/(C120*D120*SIN(RADIANS(E120))*COS(RADIANS(E120)))</f>
        <v>1.43293062228719</v>
      </c>
    </row>
    <row r="121" customFormat="false" ht="15" hidden="false" customHeight="false" outlineLevel="0" collapsed="false">
      <c r="A121" s="0" t="n">
        <v>8.251</v>
      </c>
      <c r="B121" s="0" t="n">
        <v>35.52</v>
      </c>
      <c r="C121" s="0" t="n">
        <v>20.049</v>
      </c>
      <c r="D121" s="0" t="n">
        <v>16.445</v>
      </c>
      <c r="E121" s="0" t="n">
        <v>25.019</v>
      </c>
      <c r="F121" s="0" t="n">
        <v>0.155</v>
      </c>
      <c r="G121" s="12" t="n">
        <f aca="false">(A121+(C121*D121*COS(RADIANS(E121))^2-F121*C121*D121)*TAN(RADIANS(B121)))/(C121*D121*SIN(RADIANS(E121))*COS(RADIANS(E121)))</f>
        <v>1.3060621043107</v>
      </c>
    </row>
    <row r="122" customFormat="false" ht="15" hidden="false" customHeight="false" outlineLevel="0" collapsed="false">
      <c r="A122" s="0" t="n">
        <v>9.212</v>
      </c>
      <c r="B122" s="0" t="n">
        <v>35.346</v>
      </c>
      <c r="C122" s="0" t="n">
        <v>20.032</v>
      </c>
      <c r="D122" s="0" t="n">
        <v>15.981</v>
      </c>
      <c r="E122" s="0" t="n">
        <v>27.308</v>
      </c>
      <c r="F122" s="0" t="n">
        <v>0.1184</v>
      </c>
      <c r="G122" s="12" t="n">
        <f aca="false">(A122+(C122*D122*COS(RADIANS(E122))^2-F122*C122*D122)*TAN(RADIANS(B122)))/(C122*D122*SIN(RADIANS(E122))*COS(RADIANS(E122)))</f>
        <v>1.2382578090567</v>
      </c>
    </row>
    <row r="123" customFormat="false" ht="15" hidden="false" customHeight="false" outlineLevel="0" collapsed="false">
      <c r="A123" s="0" t="n">
        <v>9.709</v>
      </c>
      <c r="B123" s="0" t="n">
        <v>30.667</v>
      </c>
      <c r="C123" s="0" t="n">
        <v>19.295</v>
      </c>
      <c r="D123" s="0" t="n">
        <v>16.102</v>
      </c>
      <c r="E123" s="0" t="n">
        <v>26.189</v>
      </c>
      <c r="F123" s="0" t="n">
        <v>0</v>
      </c>
      <c r="G123" s="12" t="n">
        <f aca="false">(A123+(C123*D123*COS(RADIANS(E123))^2-F123*C123*D123)*TAN(RADIANS(B123)))/(C123*D123*SIN(RADIANS(E123))*COS(RADIANS(E123)))</f>
        <v>1.2845828898729</v>
      </c>
    </row>
    <row r="124" customFormat="false" ht="15" hidden="false" customHeight="false" outlineLevel="0" collapsed="false">
      <c r="A124" s="0" t="n">
        <v>11.011</v>
      </c>
      <c r="B124" s="0" t="n">
        <v>33.874</v>
      </c>
      <c r="C124" s="0" t="n">
        <v>21.285</v>
      </c>
      <c r="D124" s="0" t="n">
        <v>18.923</v>
      </c>
      <c r="E124" s="0" t="n">
        <v>22.697</v>
      </c>
      <c r="F124" s="0" t="n">
        <v>0.2288</v>
      </c>
      <c r="G124" s="12" t="n">
        <f aca="false">(A124+(C124*D124*COS(RADIANS(E124))^2-F124*C124*D124)*TAN(RADIANS(B124)))/(C124*D124*SIN(RADIANS(E124))*COS(RADIANS(E124)))</f>
        <v>1.25037976501183</v>
      </c>
    </row>
    <row r="125" customFormat="false" ht="15" hidden="false" customHeight="false" outlineLevel="0" collapsed="false">
      <c r="A125" s="0" t="n">
        <v>16.599</v>
      </c>
      <c r="B125" s="0" t="n">
        <v>32.649</v>
      </c>
      <c r="C125" s="0" t="n">
        <v>22.241</v>
      </c>
      <c r="D125" s="0" t="n">
        <v>17.414</v>
      </c>
      <c r="E125" s="0" t="n">
        <v>28.64</v>
      </c>
      <c r="F125" s="0" t="n">
        <v>0.0159</v>
      </c>
      <c r="G125" s="12" t="n">
        <f aca="false">(A125+(C125*D125*COS(RADIANS(E125))^2-F125*C125*D125)*TAN(RADIANS(B125)))/(C125*D125*SIN(RADIANS(E125))*COS(RADIANS(E125)))</f>
        <v>1.25090027479065</v>
      </c>
    </row>
    <row r="126" customFormat="false" ht="15" hidden="false" customHeight="false" outlineLevel="0" collapsed="false">
      <c r="A126" s="0" t="n">
        <v>11.378</v>
      </c>
      <c r="B126" s="0" t="n">
        <v>34.579</v>
      </c>
      <c r="C126" s="0" t="n">
        <v>19.279</v>
      </c>
      <c r="D126" s="0" t="n">
        <v>17.164</v>
      </c>
      <c r="E126" s="0" t="n">
        <v>30.249</v>
      </c>
      <c r="F126" s="0" t="n">
        <v>0.0691</v>
      </c>
      <c r="G126" s="12" t="n">
        <f aca="false">(A126+(C126*D126*COS(RADIANS(E126))^2-F126*C126*D126)*TAN(RADIANS(B126)))/(C126*D126*SIN(RADIANS(E126))*COS(RADIANS(E126)))</f>
        <v>1.1515908462827</v>
      </c>
    </row>
    <row r="127" customFormat="false" ht="15" hidden="false" customHeight="false" outlineLevel="0" collapsed="false">
      <c r="A127" s="0" t="n">
        <v>13.487</v>
      </c>
      <c r="B127" s="0" t="n">
        <v>29.212</v>
      </c>
      <c r="C127" s="0" t="n">
        <v>20.38</v>
      </c>
      <c r="D127" s="0" t="n">
        <v>8.278</v>
      </c>
      <c r="E127" s="0" t="n">
        <v>28.566</v>
      </c>
      <c r="F127" s="0" t="n">
        <v>0.2498</v>
      </c>
      <c r="G127" s="12" t="n">
        <f aca="false">(A127+(C127*D127*COS(RADIANS(E127))^2-F127*C127*D127)*TAN(RADIANS(B127)))/(C127*D127*SIN(RADIANS(E127))*COS(RADIANS(E127)))</f>
        <v>0.884779353812107</v>
      </c>
    </row>
    <row r="128" customFormat="false" ht="15" hidden="false" customHeight="false" outlineLevel="0" collapsed="false">
      <c r="A128" s="0" t="n">
        <v>20.197</v>
      </c>
      <c r="B128" s="0" t="n">
        <v>35.229</v>
      </c>
      <c r="C128" s="0" t="n">
        <v>20.804</v>
      </c>
      <c r="D128" s="0" t="n">
        <v>19.02</v>
      </c>
      <c r="E128" s="0" t="n">
        <v>29.454</v>
      </c>
      <c r="F128" s="0" t="n">
        <v>0.1409</v>
      </c>
      <c r="G128" s="12" t="n">
        <f aca="false">(A128+(C128*D128*COS(RADIANS(E128))^2-F128*C128*D128)*TAN(RADIANS(B128)))/(C128*D128*SIN(RADIANS(E128))*COS(RADIANS(E128)))</f>
        <v>1.13733533105772</v>
      </c>
    </row>
    <row r="129" customFormat="false" ht="15" hidden="false" customHeight="false" outlineLevel="0" collapsed="false">
      <c r="A129" s="0" t="n">
        <v>13.575</v>
      </c>
      <c r="B129" s="0" t="n">
        <v>37.34</v>
      </c>
      <c r="C129" s="0" t="n">
        <v>20.543</v>
      </c>
      <c r="D129" s="0" t="n">
        <v>16.293</v>
      </c>
      <c r="E129" s="0" t="n">
        <v>26.562</v>
      </c>
      <c r="F129" s="0" t="n">
        <v>0.1657</v>
      </c>
      <c r="G129" s="12" t="n">
        <f aca="false">(A129+(C129*D129*COS(RADIANS(E129))^2-F129*C129*D129)*TAN(RADIANS(B129)))/(C129*D129*SIN(RADIANS(E129))*COS(RADIANS(E129)))</f>
        <v>1.31134886538148</v>
      </c>
    </row>
    <row r="130" customFormat="false" ht="15" hidden="false" customHeight="false" outlineLevel="0" collapsed="false">
      <c r="A130" s="0" t="n">
        <v>17.95</v>
      </c>
      <c r="B130" s="0" t="n">
        <v>33.198</v>
      </c>
      <c r="C130" s="0" t="n">
        <v>20.441</v>
      </c>
      <c r="D130" s="0" t="n">
        <v>12.582</v>
      </c>
      <c r="E130" s="0" t="n">
        <v>27.121</v>
      </c>
      <c r="F130" s="0" t="n">
        <v>0.1668</v>
      </c>
      <c r="G130" s="12" t="n">
        <f aca="false">(A130+(C130*D130*COS(RADIANS(E130))^2-F130*C130*D130)*TAN(RADIANS(B130)))/(C130*D130*SIN(RADIANS(E130))*COS(RADIANS(E130)))</f>
        <v>1.18054125104374</v>
      </c>
    </row>
    <row r="131" customFormat="false" ht="15" hidden="false" customHeight="false" outlineLevel="0" collapsed="false">
      <c r="A131" s="0" t="n">
        <v>11.266</v>
      </c>
      <c r="B131" s="0" t="n">
        <v>35.662</v>
      </c>
      <c r="C131" s="0" t="n">
        <v>20.087</v>
      </c>
      <c r="D131" s="0" t="n">
        <v>15.78</v>
      </c>
      <c r="E131" s="0" t="n">
        <v>25.359</v>
      </c>
      <c r="F131" s="0" t="n">
        <v>0.0759</v>
      </c>
      <c r="G131" s="12" t="n">
        <f aca="false">(A131+(C131*D131*COS(RADIANS(E131))^2-F131*C131*D131)*TAN(RADIANS(B131)))/(C131*D131*SIN(RADIANS(E131))*COS(RADIANS(E131)))</f>
        <v>1.46510037197911</v>
      </c>
    </row>
    <row r="132" customFormat="false" ht="15" hidden="false" customHeight="false" outlineLevel="0" collapsed="false">
      <c r="A132" s="0" t="n">
        <v>14.178</v>
      </c>
      <c r="B132" s="0" t="n">
        <v>31.733</v>
      </c>
      <c r="C132" s="0" t="n">
        <v>20.097</v>
      </c>
      <c r="D132" s="0" t="n">
        <v>16.324</v>
      </c>
      <c r="E132" s="0" t="n">
        <v>32.097</v>
      </c>
      <c r="F132" s="0" t="n">
        <v>0.078</v>
      </c>
      <c r="G132" s="12" t="n">
        <f aca="false">(A132+(C132*D132*COS(RADIANS(E132))^2-F132*C132*D132)*TAN(RADIANS(B132)))/(C132*D132*SIN(RADIANS(E132))*COS(RADIANS(E132)))</f>
        <v>0.974793248864246</v>
      </c>
    </row>
    <row r="133" customFormat="false" ht="15" hidden="false" customHeight="false" outlineLevel="0" collapsed="false">
      <c r="A133" s="0" t="n">
        <v>11.2</v>
      </c>
      <c r="B133" s="0" t="n">
        <v>39.896</v>
      </c>
      <c r="C133" s="0" t="n">
        <v>19.89</v>
      </c>
      <c r="D133" s="0" t="n">
        <v>12.086</v>
      </c>
      <c r="E133" s="0" t="n">
        <v>27.208</v>
      </c>
      <c r="F133" s="0" t="n">
        <v>0.1285</v>
      </c>
      <c r="G133" s="12" t="n">
        <f aca="false">(A133+(C133*D133*COS(RADIANS(E133))^2-F133*C133*D133)*TAN(RADIANS(B133)))/(C133*D133*SIN(RADIANS(E133))*COS(RADIANS(E133)))</f>
        <v>1.47653223654808</v>
      </c>
    </row>
    <row r="134" customFormat="false" ht="15" hidden="false" customHeight="false" outlineLevel="0" collapsed="false">
      <c r="A134" s="0" t="n">
        <v>13.644</v>
      </c>
      <c r="B134" s="0" t="n">
        <v>31.786</v>
      </c>
      <c r="C134" s="0" t="n">
        <v>21.108</v>
      </c>
      <c r="D134" s="0" t="n">
        <v>18.789</v>
      </c>
      <c r="E134" s="0" t="n">
        <v>28.478</v>
      </c>
      <c r="F134" s="0" t="n">
        <v>0.2682</v>
      </c>
      <c r="G134" s="12" t="n">
        <f aca="false">(A134+(C134*D134*COS(RADIANS(E134))^2-F134*C134*D134)*TAN(RADIANS(B134)))/(C134*D134*SIN(RADIANS(E134))*COS(RADIANS(E134)))</f>
        <v>0.827910674056226</v>
      </c>
    </row>
    <row r="135" customFormat="false" ht="15" hidden="false" customHeight="false" outlineLevel="0" collapsed="false">
      <c r="A135" s="0" t="n">
        <v>18.361</v>
      </c>
      <c r="B135" s="0" t="n">
        <v>34.282</v>
      </c>
      <c r="C135" s="0" t="n">
        <v>19.45</v>
      </c>
      <c r="D135" s="0" t="n">
        <v>12.02</v>
      </c>
      <c r="E135" s="0" t="n">
        <v>28.333</v>
      </c>
      <c r="F135" s="0" t="n">
        <v>0.2143</v>
      </c>
      <c r="G135" s="12" t="n">
        <f aca="false">(A135+(C135*D135*COS(RADIANS(E135))^2-F135*C135*D135)*TAN(RADIANS(B135)))/(C135*D135*SIN(RADIANS(E135))*COS(RADIANS(E135)))</f>
        <v>1.10259334346129</v>
      </c>
    </row>
    <row r="136" customFormat="false" ht="15" hidden="false" customHeight="false" outlineLevel="0" collapsed="false">
      <c r="A136" s="0" t="n">
        <v>8.091</v>
      </c>
      <c r="B136" s="0" t="n">
        <v>32.438</v>
      </c>
      <c r="C136" s="0" t="n">
        <v>18.816</v>
      </c>
      <c r="D136" s="0" t="n">
        <v>10.826</v>
      </c>
      <c r="E136" s="0" t="n">
        <v>26.899</v>
      </c>
      <c r="F136" s="0" t="n">
        <v>0</v>
      </c>
      <c r="G136" s="12" t="n">
        <f aca="false">(A136+(C136*D136*COS(RADIANS(E136))^2-F136*C136*D136)*TAN(RADIANS(B136)))/(C136*D136*SIN(RADIANS(E136))*COS(RADIANS(E136)))</f>
        <v>1.35123720367044</v>
      </c>
    </row>
    <row r="137" customFormat="false" ht="15" hidden="false" customHeight="false" outlineLevel="0" collapsed="false">
      <c r="A137" s="0" t="n">
        <v>16.738</v>
      </c>
      <c r="B137" s="0" t="n">
        <v>32.049</v>
      </c>
      <c r="C137" s="0" t="n">
        <v>19.283</v>
      </c>
      <c r="D137" s="0" t="n">
        <v>12.113</v>
      </c>
      <c r="E137" s="0" t="n">
        <v>29.504</v>
      </c>
      <c r="F137" s="0" t="n">
        <v>0.1267</v>
      </c>
      <c r="G137" s="12" t="n">
        <f aca="false">(A137+(C137*D137*COS(RADIANS(E137))^2-F137*C137*D137)*TAN(RADIANS(B137)))/(C137*D137*SIN(RADIANS(E137))*COS(RADIANS(E137)))</f>
        <v>1.08850043178465</v>
      </c>
    </row>
    <row r="138" customFormat="false" ht="15" hidden="false" customHeight="false" outlineLevel="0" collapsed="false">
      <c r="A138" s="0" t="n">
        <v>15.951</v>
      </c>
      <c r="B138" s="0" t="n">
        <v>39.617</v>
      </c>
      <c r="C138" s="0" t="n">
        <v>21.049</v>
      </c>
      <c r="D138" s="0" t="n">
        <v>21.884</v>
      </c>
      <c r="E138" s="0" t="n">
        <v>29.169</v>
      </c>
      <c r="F138" s="0" t="n">
        <v>0.1974</v>
      </c>
      <c r="G138" s="12" t="n">
        <f aca="false">(A138+(C138*D138*COS(RADIANS(E138))^2-F138*C138*D138)*TAN(RADIANS(B138)))/(C138*D138*SIN(RADIANS(E138))*COS(RADIANS(E138)))</f>
        <v>1.1804220156375</v>
      </c>
    </row>
    <row r="139" customFormat="false" ht="15" hidden="false" customHeight="false" outlineLevel="0" collapsed="false">
      <c r="A139" s="0" t="n">
        <v>12.623</v>
      </c>
      <c r="B139" s="0" t="n">
        <v>39.293</v>
      </c>
      <c r="C139" s="0" t="n">
        <v>19.078</v>
      </c>
      <c r="D139" s="0" t="n">
        <v>13.837</v>
      </c>
      <c r="E139" s="0" t="n">
        <v>28.023</v>
      </c>
      <c r="F139" s="0" t="n">
        <v>0.1828</v>
      </c>
      <c r="G139" s="12" t="n">
        <f aca="false">(A139+(C139*D139*COS(RADIANS(E139))^2-F139*C139*D139)*TAN(RADIANS(B139)))/(C139*D139*SIN(RADIANS(E139))*COS(RADIANS(E139)))</f>
        <v>1.29211470894915</v>
      </c>
    </row>
    <row r="140" customFormat="false" ht="15" hidden="false" customHeight="false" outlineLevel="0" collapsed="false">
      <c r="A140" s="0" t="n">
        <v>9.216</v>
      </c>
      <c r="B140" s="0" t="n">
        <v>33.392</v>
      </c>
      <c r="C140" s="0" t="n">
        <v>21.005</v>
      </c>
      <c r="D140" s="0" t="n">
        <v>12.067</v>
      </c>
      <c r="E140" s="0" t="n">
        <v>28.088</v>
      </c>
      <c r="F140" s="0" t="n">
        <v>0.1732</v>
      </c>
      <c r="G140" s="12" t="n">
        <f aca="false">(A140+(C140*D140*COS(RADIANS(E140))^2-F140*C140*D140)*TAN(RADIANS(B140)))/(C140*D140*SIN(RADIANS(E140))*COS(RADIANS(E140)))</f>
        <v>1.04782932536052</v>
      </c>
    </row>
    <row r="141" customFormat="false" ht="15" hidden="false" customHeight="false" outlineLevel="0" collapsed="false">
      <c r="A141" s="0" t="n">
        <v>15.289</v>
      </c>
      <c r="B141" s="0" t="n">
        <v>45</v>
      </c>
      <c r="C141" s="0" t="n">
        <v>20.217</v>
      </c>
      <c r="D141" s="0" t="n">
        <v>12.372</v>
      </c>
      <c r="E141" s="0" t="n">
        <v>26.773</v>
      </c>
      <c r="F141" s="0" t="n">
        <v>0.0882</v>
      </c>
      <c r="G141" s="12" t="n">
        <f aca="false">(A141+(C141*D141*COS(RADIANS(E141))^2-F141*C141*D141)*TAN(RADIANS(B141)))/(C141*D141*SIN(RADIANS(E141))*COS(RADIANS(E141)))</f>
        <v>1.91466222807442</v>
      </c>
    </row>
    <row r="142" customFormat="false" ht="15" hidden="false" customHeight="false" outlineLevel="0" collapsed="false">
      <c r="A142" s="0" t="n">
        <v>12.882</v>
      </c>
      <c r="B142" s="0" t="n">
        <v>38.233</v>
      </c>
      <c r="C142" s="0" t="n">
        <v>19.847</v>
      </c>
      <c r="D142" s="0" t="n">
        <v>13.782</v>
      </c>
      <c r="E142" s="0" t="n">
        <v>28.898</v>
      </c>
      <c r="F142" s="0" t="n">
        <v>0.0467</v>
      </c>
      <c r="G142" s="12" t="n">
        <f aca="false">(A142+(C142*D142*COS(RADIANS(E142))^2-F142*C142*D142)*TAN(RADIANS(B142)))/(C142*D142*SIN(RADIANS(E142))*COS(RADIANS(E142)))</f>
        <v>1.45166626364824</v>
      </c>
    </row>
    <row r="143" customFormat="false" ht="15" hidden="false" customHeight="false" outlineLevel="0" collapsed="false">
      <c r="A143" s="0" t="n">
        <v>15.931</v>
      </c>
      <c r="B143" s="0" t="n">
        <v>37.978</v>
      </c>
      <c r="C143" s="0" t="n">
        <v>19.737</v>
      </c>
      <c r="D143" s="0" t="n">
        <v>16.252</v>
      </c>
      <c r="E143" s="0" t="n">
        <v>29.989</v>
      </c>
      <c r="F143" s="0" t="n">
        <v>0.1053</v>
      </c>
      <c r="G143" s="12" t="n">
        <f aca="false">(A143+(C143*D143*COS(RADIANS(E143))^2-F143*C143*D143)*TAN(RADIANS(B143)))/(C143*D143*SIN(RADIANS(E143))*COS(RADIANS(E143)))</f>
        <v>1.27759371534592</v>
      </c>
    </row>
    <row r="144" customFormat="false" ht="15" hidden="false" customHeight="false" outlineLevel="0" collapsed="false">
      <c r="A144" s="0" t="n">
        <v>15.087</v>
      </c>
      <c r="B144" s="0" t="n">
        <v>34.958</v>
      </c>
      <c r="C144" s="0" t="n">
        <v>20.085</v>
      </c>
      <c r="D144" s="0" t="n">
        <v>14.952</v>
      </c>
      <c r="E144" s="0" t="n">
        <v>29.936</v>
      </c>
      <c r="F144" s="0" t="n">
        <v>0.1589</v>
      </c>
      <c r="G144" s="12" t="n">
        <f aca="false">(A144+(C144*D144*COS(RADIANS(E144))^2-F144*C144*D144)*TAN(RADIANS(B144)))/(C144*D144*SIN(RADIANS(E144))*COS(RADIANS(E144)))</f>
        <v>1.07332110928136</v>
      </c>
    </row>
    <row r="145" customFormat="false" ht="15" hidden="false" customHeight="false" outlineLevel="0" collapsed="false">
      <c r="A145" s="0" t="n">
        <v>21.407</v>
      </c>
      <c r="B145" s="0" t="n">
        <v>38.512</v>
      </c>
      <c r="C145" s="0" t="n">
        <v>20.714</v>
      </c>
      <c r="D145" s="0" t="n">
        <v>18.326</v>
      </c>
      <c r="E145" s="0" t="n">
        <v>28.481</v>
      </c>
      <c r="F145" s="0" t="n">
        <v>0.1014</v>
      </c>
      <c r="G145" s="12" t="n">
        <f aca="false">(A145+(C145*D145*COS(RADIANS(E145))^2-F145*C145*D145)*TAN(RADIANS(B145)))/(C145*D145*SIN(RADIANS(E145))*COS(RADIANS(E145)))</f>
        <v>1.40882887224946</v>
      </c>
    </row>
    <row r="146" customFormat="false" ht="15" hidden="false" customHeight="false" outlineLevel="0" collapsed="false">
      <c r="A146" s="0" t="n">
        <v>14.043</v>
      </c>
      <c r="B146" s="0" t="n">
        <v>35.316</v>
      </c>
      <c r="C146" s="0" t="n">
        <v>19.55</v>
      </c>
      <c r="D146" s="0" t="n">
        <v>18.159</v>
      </c>
      <c r="E146" s="0" t="n">
        <v>27.882</v>
      </c>
      <c r="F146" s="0" t="n">
        <v>0.2587</v>
      </c>
      <c r="G146" s="12" t="n">
        <f aca="false">(A146+(C146*D146*COS(RADIANS(E146))^2-F146*C146*D146)*TAN(RADIANS(B146)))/(C146*D146*SIN(RADIANS(E146))*COS(RADIANS(E146)))</f>
        <v>0.991375126598651</v>
      </c>
    </row>
    <row r="147" customFormat="false" ht="15" hidden="false" customHeight="false" outlineLevel="0" collapsed="false">
      <c r="A147" s="0" t="n">
        <v>10.906</v>
      </c>
      <c r="B147" s="0" t="n">
        <v>31.983</v>
      </c>
      <c r="C147" s="0" t="n">
        <v>18.831</v>
      </c>
      <c r="D147" s="0" t="n">
        <v>14.279</v>
      </c>
      <c r="E147" s="0" t="n">
        <v>27.727</v>
      </c>
      <c r="F147" s="0" t="n">
        <v>0.2404</v>
      </c>
      <c r="G147" s="12" t="n">
        <f aca="false">(A147+(C147*D147*COS(RADIANS(E147))^2-F147*C147*D147)*TAN(RADIANS(B147)))/(C147*D147*SIN(RADIANS(E147))*COS(RADIANS(E147)))</f>
        <v>0.922026494224779</v>
      </c>
    </row>
    <row r="148" customFormat="false" ht="15" hidden="false" customHeight="false" outlineLevel="0" collapsed="false">
      <c r="A148" s="0" t="n">
        <v>15.717</v>
      </c>
      <c r="B148" s="0" t="n">
        <v>34.881</v>
      </c>
      <c r="C148" s="0" t="n">
        <v>21.426</v>
      </c>
      <c r="D148" s="0" t="n">
        <v>18.013</v>
      </c>
      <c r="E148" s="0" t="n">
        <v>30.909</v>
      </c>
      <c r="F148" s="0" t="n">
        <v>0.1567</v>
      </c>
      <c r="G148" s="12" t="n">
        <f aca="false">(A148+(C148*D148*COS(RADIANS(E148))^2-F148*C148*D148)*TAN(RADIANS(B148)))/(C148*D148*SIN(RADIANS(E148))*COS(RADIANS(E148)))</f>
        <v>1.00892286161276</v>
      </c>
    </row>
    <row r="149" customFormat="false" ht="15" hidden="false" customHeight="false" outlineLevel="0" collapsed="false">
      <c r="A149" s="0" t="n">
        <v>15.88</v>
      </c>
      <c r="B149" s="0" t="n">
        <v>33.614</v>
      </c>
      <c r="C149" s="0" t="n">
        <v>21.728</v>
      </c>
      <c r="D149" s="0" t="n">
        <v>11.496</v>
      </c>
      <c r="E149" s="0" t="n">
        <v>32.128</v>
      </c>
      <c r="F149" s="0" t="n">
        <v>0.1155</v>
      </c>
      <c r="G149" s="12" t="n">
        <f aca="false">(A149+(C149*D149*COS(RADIANS(E149))^2-F149*C149*D149)*TAN(RADIANS(B149)))/(C149*D149*SIN(RADIANS(E149))*COS(RADIANS(E149)))</f>
        <v>1.02923575211137</v>
      </c>
    </row>
    <row r="150" customFormat="false" ht="15" hidden="false" customHeight="false" outlineLevel="0" collapsed="false">
      <c r="A150" s="0" t="n">
        <v>20.437</v>
      </c>
      <c r="B150" s="0" t="n">
        <v>31.247</v>
      </c>
      <c r="C150" s="0" t="n">
        <v>20.874</v>
      </c>
      <c r="D150" s="0" t="n">
        <v>16.765</v>
      </c>
      <c r="E150" s="0" t="n">
        <v>27.253</v>
      </c>
      <c r="F150" s="0" t="n">
        <v>0.0915</v>
      </c>
      <c r="G150" s="12" t="n">
        <f aca="false">(A150+(C150*D150*COS(RADIANS(E150))^2-F150*C150*D150)*TAN(RADIANS(B150)))/(C150*D150*SIN(RADIANS(E150))*COS(RADIANS(E150)))</f>
        <v>1.18499366623946</v>
      </c>
    </row>
    <row r="151" customFormat="false" ht="15" hidden="false" customHeight="false" outlineLevel="0" collapsed="false">
      <c r="A151" s="0" t="n">
        <v>18.34</v>
      </c>
      <c r="B151" s="0" t="n">
        <v>37.986</v>
      </c>
      <c r="C151" s="0" t="n">
        <v>20.409</v>
      </c>
      <c r="D151" s="0" t="n">
        <v>15.755</v>
      </c>
      <c r="E151" s="0" t="n">
        <v>25.423</v>
      </c>
      <c r="F151" s="0" t="n">
        <v>0.1016</v>
      </c>
      <c r="G151" s="12" t="n">
        <f aca="false">(A151+(C151*D151*COS(RADIANS(E151))^2-F151*C151*D151)*TAN(RADIANS(B151)))/(C151*D151*SIN(RADIANS(E151))*COS(RADIANS(E151)))</f>
        <v>1.58533456120473</v>
      </c>
    </row>
    <row r="152" customFormat="false" ht="15" hidden="false" customHeight="false" outlineLevel="0" collapsed="false">
      <c r="A152" s="0" t="n">
        <v>16.427</v>
      </c>
      <c r="B152" s="0" t="n">
        <v>35.479</v>
      </c>
      <c r="C152" s="0" t="n">
        <v>20.624</v>
      </c>
      <c r="D152" s="0" t="n">
        <v>11.924</v>
      </c>
      <c r="E152" s="0" t="n">
        <v>29.198</v>
      </c>
      <c r="F152" s="0" t="n">
        <v>0.0981</v>
      </c>
      <c r="G152" s="12" t="n">
        <f aca="false">(A152+(C152*D152*COS(RADIANS(E152))^2-F152*C152*D152)*TAN(RADIANS(B152)))/(C152*D152*SIN(RADIANS(E152))*COS(RADIANS(E152)))</f>
        <v>1.2680720954443</v>
      </c>
    </row>
    <row r="153" customFormat="false" ht="15" hidden="false" customHeight="false" outlineLevel="0" collapsed="false">
      <c r="A153" s="0" t="n">
        <v>20.853</v>
      </c>
      <c r="B153" s="0" t="n">
        <v>34.751</v>
      </c>
      <c r="C153" s="0" t="n">
        <v>19.25</v>
      </c>
      <c r="D153" s="0" t="n">
        <v>13.316</v>
      </c>
      <c r="E153" s="0" t="n">
        <v>26.445</v>
      </c>
      <c r="F153" s="0" t="n">
        <v>0.1437</v>
      </c>
      <c r="G153" s="12" t="n">
        <f aca="false">(A153+(C153*D153*COS(RADIANS(E153))^2-F153*C153*D153)*TAN(RADIANS(B153)))/(C153*D153*SIN(RADIANS(E153))*COS(RADIANS(E153)))</f>
        <v>1.34880288669228</v>
      </c>
    </row>
    <row r="154" customFormat="false" ht="15" hidden="false" customHeight="false" outlineLevel="0" collapsed="false">
      <c r="A154" s="0" t="n">
        <v>10.245</v>
      </c>
      <c r="B154" s="0" t="n">
        <v>40.218</v>
      </c>
      <c r="C154" s="0" t="n">
        <v>19.667</v>
      </c>
      <c r="D154" s="0" t="n">
        <v>17.45</v>
      </c>
      <c r="E154" s="0" t="n">
        <v>27.152</v>
      </c>
      <c r="F154" s="0" t="n">
        <v>0.2763</v>
      </c>
      <c r="G154" s="12" t="n">
        <f aca="false">(A154+(C154*D154*COS(RADIANS(E154))^2-F154*C154*D154)*TAN(RADIANS(B154)))/(C154*D154*SIN(RADIANS(E154))*COS(RADIANS(E154)))</f>
        <v>1.14689952743376</v>
      </c>
    </row>
    <row r="155" customFormat="false" ht="15" hidden="false" customHeight="false" outlineLevel="0" collapsed="false">
      <c r="A155" s="0" t="n">
        <v>12.441</v>
      </c>
      <c r="B155" s="0" t="n">
        <v>35.476</v>
      </c>
      <c r="C155" s="0" t="n">
        <v>22.236</v>
      </c>
      <c r="D155" s="0" t="n">
        <v>17.168</v>
      </c>
      <c r="E155" s="0" t="n">
        <v>26.51</v>
      </c>
      <c r="F155" s="0" t="n">
        <v>0.084</v>
      </c>
      <c r="G155" s="12" t="n">
        <f aca="false">(A155+(C155*D155*COS(RADIANS(E155))^2-F155*C155*D155)*TAN(RADIANS(B155)))/(C155*D155*SIN(RADIANS(E155))*COS(RADIANS(E155)))</f>
        <v>1.36046939572599</v>
      </c>
    </row>
    <row r="156" customFormat="false" ht="15" hidden="false" customHeight="false" outlineLevel="0" collapsed="false">
      <c r="A156" s="0" t="n">
        <v>11.294</v>
      </c>
      <c r="B156" s="0" t="n">
        <v>38.688</v>
      </c>
      <c r="C156" s="0" t="n">
        <v>18.953</v>
      </c>
      <c r="D156" s="0" t="n">
        <v>17.041</v>
      </c>
      <c r="E156" s="0" t="n">
        <v>26.185</v>
      </c>
      <c r="F156" s="0" t="n">
        <v>0.1208</v>
      </c>
      <c r="G156" s="12" t="n">
        <f aca="false">(A156+(C156*D156*COS(RADIANS(E156))^2-F156*C156*D156)*TAN(RADIANS(B156)))/(C156*D156*SIN(RADIANS(E156))*COS(RADIANS(E156)))</f>
        <v>1.47254263289969</v>
      </c>
    </row>
    <row r="157" customFormat="false" ht="15" hidden="false" customHeight="false" outlineLevel="0" collapsed="false">
      <c r="A157" s="0" t="n">
        <v>13.441</v>
      </c>
      <c r="B157" s="0" t="n">
        <v>31.823</v>
      </c>
      <c r="C157" s="0" t="n">
        <v>20.27</v>
      </c>
      <c r="D157" s="0" t="n">
        <v>10.213</v>
      </c>
      <c r="E157" s="0" t="n">
        <v>26.537</v>
      </c>
      <c r="F157" s="0" t="n">
        <v>0.2981</v>
      </c>
      <c r="G157" s="12" t="n">
        <f aca="false">(A157+(C157*D157*COS(RADIANS(E157))^2-F157*C157*D157)*TAN(RADIANS(B157)))/(C157*D157*SIN(RADIANS(E157))*COS(RADIANS(E157)))</f>
        <v>0.942292528929174</v>
      </c>
    </row>
    <row r="158" customFormat="false" ht="15" hidden="false" customHeight="false" outlineLevel="0" collapsed="false">
      <c r="A158" s="0" t="n">
        <v>9.493</v>
      </c>
      <c r="B158" s="0" t="n">
        <v>32.623</v>
      </c>
      <c r="C158" s="0" t="n">
        <v>19.681</v>
      </c>
      <c r="D158" s="0" t="n">
        <v>17.897</v>
      </c>
      <c r="E158" s="0" t="n">
        <v>27.693</v>
      </c>
      <c r="F158" s="0" t="n">
        <v>0.1088</v>
      </c>
      <c r="G158" s="12" t="n">
        <f aca="false">(A158+(C158*D158*COS(RADIANS(E158))^2-F158*C158*D158)*TAN(RADIANS(B158)))/(C158*D158*SIN(RADIANS(E158))*COS(RADIANS(E158)))</f>
        <v>1.11581332679997</v>
      </c>
    </row>
    <row r="159" customFormat="false" ht="15" hidden="false" customHeight="false" outlineLevel="0" collapsed="false">
      <c r="A159" s="0" t="n">
        <v>17.541</v>
      </c>
      <c r="B159" s="0" t="n">
        <v>34.996</v>
      </c>
      <c r="C159" s="0" t="n">
        <v>19.918</v>
      </c>
      <c r="D159" s="0" t="n">
        <v>12.429</v>
      </c>
      <c r="E159" s="0" t="n">
        <v>29.291</v>
      </c>
      <c r="F159" s="0" t="n">
        <v>0.1704</v>
      </c>
      <c r="G159" s="12" t="n">
        <f aca="false">(A159+(C159*D159*COS(RADIANS(E159))^2-F159*C159*D159)*TAN(RADIANS(B159)))/(C159*D159*SIN(RADIANS(E159))*COS(RADIANS(E159)))</f>
        <v>1.13449953600674</v>
      </c>
    </row>
    <row r="160" customFormat="false" ht="15" hidden="false" customHeight="false" outlineLevel="0" collapsed="false">
      <c r="A160" s="0" t="n">
        <v>14.111</v>
      </c>
      <c r="B160" s="0" t="n">
        <v>35.285</v>
      </c>
      <c r="C160" s="0" t="n">
        <v>19.52</v>
      </c>
      <c r="D160" s="0" t="n">
        <v>14.595</v>
      </c>
      <c r="E160" s="0" t="n">
        <v>27.362</v>
      </c>
      <c r="F160" s="0" t="n">
        <v>0.1896</v>
      </c>
      <c r="G160" s="12" t="n">
        <f aca="false">(A160+(C160*D160*COS(RADIANS(E160))^2-F160*C160*D160)*TAN(RADIANS(B160)))/(C160*D160*SIN(RADIANS(E160))*COS(RADIANS(E160)))</f>
        <v>1.16005497074788</v>
      </c>
    </row>
    <row r="161" customFormat="false" ht="15" hidden="false" customHeight="false" outlineLevel="0" collapsed="false">
      <c r="A161" s="0" t="n">
        <v>9.117</v>
      </c>
      <c r="B161" s="0" t="n">
        <v>35.889</v>
      </c>
      <c r="C161" s="0" t="n">
        <v>19.519</v>
      </c>
      <c r="D161" s="0" t="n">
        <v>17.071</v>
      </c>
      <c r="E161" s="0" t="n">
        <v>28.911</v>
      </c>
      <c r="F161" s="0" t="n">
        <v>0.2692</v>
      </c>
      <c r="G161" s="12" t="n">
        <f aca="false">(A161+(C161*D161*COS(RADIANS(E161))^2-F161*C161*D161)*TAN(RADIANS(B161)))/(C161*D161*SIN(RADIANS(E161))*COS(RADIANS(E161)))</f>
        <v>0.914554857733312</v>
      </c>
    </row>
    <row r="162" customFormat="false" ht="15" hidden="false" customHeight="false" outlineLevel="0" collapsed="false">
      <c r="A162" s="0" t="n">
        <v>10.938</v>
      </c>
      <c r="B162" s="0" t="n">
        <v>38.006</v>
      </c>
      <c r="C162" s="0" t="n">
        <v>18.561</v>
      </c>
      <c r="D162" s="0" t="n">
        <v>7.452</v>
      </c>
      <c r="E162" s="0" t="n">
        <v>29.434</v>
      </c>
      <c r="F162" s="0" t="n">
        <v>0.1125</v>
      </c>
      <c r="G162" s="12" t="n">
        <f aca="false">(A162+(C162*D162*COS(RADIANS(E162))^2-F162*C162*D162)*TAN(RADIANS(B162)))/(C162*D162*SIN(RADIANS(E162))*COS(RADIANS(E162)))</f>
        <v>1.3642946320201</v>
      </c>
    </row>
    <row r="163" customFormat="false" ht="15" hidden="false" customHeight="false" outlineLevel="0" collapsed="false">
      <c r="A163" s="0" t="n">
        <v>16.254</v>
      </c>
      <c r="B163" s="0" t="n">
        <v>45</v>
      </c>
      <c r="C163" s="0" t="n">
        <v>20.502</v>
      </c>
      <c r="D163" s="0" t="n">
        <v>12.927</v>
      </c>
      <c r="E163" s="0" t="n">
        <v>25.863</v>
      </c>
      <c r="F163" s="0" t="n">
        <v>0.1313</v>
      </c>
      <c r="G163" s="12" t="n">
        <f aca="false">(A163+(C163*D163*COS(RADIANS(E163))^2-F163*C163*D163)*TAN(RADIANS(B163)))/(C163*D163*SIN(RADIANS(E163))*COS(RADIANS(E163)))</f>
        <v>1.88455099178989</v>
      </c>
    </row>
    <row r="164" customFormat="false" ht="15" hidden="false" customHeight="false" outlineLevel="0" collapsed="false">
      <c r="A164" s="0" t="n">
        <v>18.353</v>
      </c>
      <c r="B164" s="0" t="n">
        <v>30.159</v>
      </c>
      <c r="C164" s="0" t="n">
        <v>19.613</v>
      </c>
      <c r="D164" s="0" t="n">
        <v>17.193</v>
      </c>
      <c r="E164" s="0" t="n">
        <v>28.573</v>
      </c>
      <c r="F164" s="0" t="n">
        <v>0.3187</v>
      </c>
      <c r="G164" s="12" t="n">
        <f aca="false">(A164+(C164*D164*COS(RADIANS(E164))^2-F164*C164*D164)*TAN(RADIANS(B164)))/(C164*D164*SIN(RADIANS(E164))*COS(RADIANS(E164)))</f>
        <v>0.755625410582549</v>
      </c>
    </row>
    <row r="165" customFormat="false" ht="15" hidden="false" customHeight="false" outlineLevel="0" collapsed="false">
      <c r="A165" s="0" t="n">
        <v>22.987</v>
      </c>
      <c r="B165" s="0" t="n">
        <v>33.162</v>
      </c>
      <c r="C165" s="0" t="n">
        <v>20.097</v>
      </c>
      <c r="D165" s="0" t="n">
        <v>6.92</v>
      </c>
      <c r="E165" s="0" t="n">
        <v>28.364</v>
      </c>
      <c r="F165" s="0" t="n">
        <v>0.174</v>
      </c>
      <c r="G165" s="12" t="n">
        <f aca="false">(A165+(C165*D165*COS(RADIANS(E165))^2-F165*C165*D165)*TAN(RADIANS(B165)))/(C165*D165*SIN(RADIANS(E165))*COS(RADIANS(E165)))</f>
        <v>1.33373350594277</v>
      </c>
    </row>
    <row r="166" customFormat="false" ht="15" hidden="false" customHeight="false" outlineLevel="0" collapsed="false">
      <c r="A166" s="0" t="n">
        <v>26.655</v>
      </c>
      <c r="B166" s="0" t="n">
        <v>36.2</v>
      </c>
      <c r="C166" s="0" t="n">
        <v>20.719</v>
      </c>
      <c r="D166" s="0" t="n">
        <v>14.696</v>
      </c>
      <c r="E166" s="0" t="n">
        <v>28.339</v>
      </c>
      <c r="F166" s="0" t="n">
        <v>0.1646</v>
      </c>
      <c r="G166" s="12" t="n">
        <f aca="false">(A166+(C166*D166*COS(RADIANS(E166))^2-F166*C166*D166)*TAN(RADIANS(B166)))/(C166*D166*SIN(RADIANS(E166))*COS(RADIANS(E166)))</f>
        <v>1.27823884736742</v>
      </c>
    </row>
    <row r="167" customFormat="false" ht="15" hidden="false" customHeight="false" outlineLevel="0" collapsed="false">
      <c r="A167" s="0" t="n">
        <v>16.658</v>
      </c>
      <c r="B167" s="0" t="n">
        <v>40.856</v>
      </c>
      <c r="C167" s="0" t="n">
        <v>18.85</v>
      </c>
      <c r="D167" s="0" t="n">
        <v>14.301</v>
      </c>
      <c r="E167" s="0" t="n">
        <v>26.544</v>
      </c>
      <c r="F167" s="0" t="n">
        <v>0.1563</v>
      </c>
      <c r="G167" s="12" t="n">
        <f aca="false">(A167+(C167*D167*COS(RADIANS(E167))^2-F167*C167*D167)*TAN(RADIANS(B167)))/(C167*D167*SIN(RADIANS(E167))*COS(RADIANS(E167)))</f>
        <v>1.5477877709117</v>
      </c>
    </row>
    <row r="168" customFormat="false" ht="15" hidden="false" customHeight="false" outlineLevel="0" collapsed="false">
      <c r="A168" s="0" t="n">
        <v>11.042</v>
      </c>
      <c r="B168" s="0" t="n">
        <v>34.319</v>
      </c>
      <c r="C168" s="0" t="n">
        <v>19.626</v>
      </c>
      <c r="D168" s="0" t="n">
        <v>12.354</v>
      </c>
      <c r="E168" s="0" t="n">
        <v>27.147</v>
      </c>
      <c r="F168" s="0" t="n">
        <v>0.2925</v>
      </c>
      <c r="G168" s="12" t="n">
        <f aca="false">(A168+(C168*D168*COS(RADIANS(E168))^2-F168*C168*D168)*TAN(RADIANS(B168)))/(C168*D168*SIN(RADIANS(E168))*COS(RADIANS(E168)))</f>
        <v>0.951679665610807</v>
      </c>
    </row>
    <row r="169" customFormat="false" ht="15" hidden="false" customHeight="false" outlineLevel="0" collapsed="false">
      <c r="A169" s="0" t="n">
        <v>6.472</v>
      </c>
      <c r="B169" s="0" t="n">
        <v>34.933</v>
      </c>
      <c r="C169" s="0" t="n">
        <v>19.163</v>
      </c>
      <c r="D169" s="0" t="n">
        <v>16.527</v>
      </c>
      <c r="E169" s="0" t="n">
        <v>26.663</v>
      </c>
      <c r="F169" s="0" t="n">
        <v>0.1362</v>
      </c>
      <c r="G169" s="12" t="n">
        <f aca="false">(A169+(C169*D169*COS(RADIANS(E169))^2-F169*C169*D169)*TAN(RADIANS(B169)))/(C169*D169*SIN(RADIANS(E169))*COS(RADIANS(E169)))</f>
        <v>1.20471964365824</v>
      </c>
    </row>
    <row r="170" customFormat="false" ht="15" hidden="false" customHeight="false" outlineLevel="0" collapsed="false">
      <c r="A170" s="0" t="n">
        <v>16.071</v>
      </c>
      <c r="B170" s="0" t="n">
        <v>33.764</v>
      </c>
      <c r="C170" s="0" t="n">
        <v>19.997</v>
      </c>
      <c r="D170" s="0" t="n">
        <v>20.131</v>
      </c>
      <c r="E170" s="0" t="n">
        <v>25.418</v>
      </c>
      <c r="F170" s="0" t="n">
        <v>0.136</v>
      </c>
      <c r="G170" s="12" t="n">
        <f aca="false">(A170+(C170*D170*COS(RADIANS(E170))^2-F170*C170*D170)*TAN(RADIANS(B170)))/(C170*D170*SIN(RADIANS(E170))*COS(RADIANS(E170)))</f>
        <v>1.27523398329862</v>
      </c>
    </row>
    <row r="171" customFormat="false" ht="15" hidden="false" customHeight="false" outlineLevel="0" collapsed="false">
      <c r="A171" s="0" t="n">
        <v>11.748</v>
      </c>
      <c r="B171" s="0" t="n">
        <v>36.583</v>
      </c>
      <c r="C171" s="0" t="n">
        <v>19.998</v>
      </c>
      <c r="D171" s="0" t="n">
        <v>13.491</v>
      </c>
      <c r="E171" s="0" t="n">
        <v>28.26</v>
      </c>
      <c r="F171" s="0" t="n">
        <v>0.1431</v>
      </c>
      <c r="G171" s="12" t="n">
        <f aca="false">(A171+(C171*D171*COS(RADIANS(E171))^2-F171*C171*D171)*TAN(RADIANS(B171)))/(C171*D171*SIN(RADIANS(E171))*COS(RADIANS(E171)))</f>
        <v>1.23047133259932</v>
      </c>
    </row>
    <row r="172" customFormat="false" ht="15" hidden="false" customHeight="false" outlineLevel="0" collapsed="false">
      <c r="A172" s="0" t="n">
        <v>13.339</v>
      </c>
      <c r="B172" s="0" t="n">
        <v>34.906</v>
      </c>
      <c r="C172" s="0" t="n">
        <v>19.829</v>
      </c>
      <c r="D172" s="0" t="n">
        <v>17.088</v>
      </c>
      <c r="E172" s="0" t="n">
        <v>27.799</v>
      </c>
      <c r="F172" s="0" t="n">
        <v>0.0597</v>
      </c>
      <c r="G172" s="12" t="n">
        <f aca="false">(A172+(C172*D172*COS(RADIANS(E172))^2-F172*C172*D172)*TAN(RADIANS(B172)))/(C172*D172*SIN(RADIANS(E172))*COS(RADIANS(E172)))</f>
        <v>1.31793561461092</v>
      </c>
    </row>
    <row r="173" customFormat="false" ht="15" hidden="false" customHeight="false" outlineLevel="0" collapsed="false">
      <c r="A173" s="0" t="n">
        <v>12.552</v>
      </c>
      <c r="B173" s="0" t="n">
        <v>37.445</v>
      </c>
      <c r="C173" s="0" t="n">
        <v>21.675</v>
      </c>
      <c r="D173" s="0" t="n">
        <v>12.58</v>
      </c>
      <c r="E173" s="0" t="n">
        <v>31.305</v>
      </c>
      <c r="F173" s="0" t="n">
        <v>0.1604</v>
      </c>
      <c r="G173" s="12" t="n">
        <f aca="false">(A173+(C173*D173*COS(RADIANS(E173))^2-F173*C173*D173)*TAN(RADIANS(B173)))/(C173*D173*SIN(RADIANS(E173))*COS(RADIANS(E173)))</f>
        <v>1.08628065103784</v>
      </c>
    </row>
    <row r="174" customFormat="false" ht="15" hidden="false" customHeight="false" outlineLevel="0" collapsed="false">
      <c r="A174" s="0" t="n">
        <v>14.437</v>
      </c>
      <c r="B174" s="0" t="n">
        <v>38.668</v>
      </c>
      <c r="C174" s="0" t="n">
        <v>20.663</v>
      </c>
      <c r="D174" s="0" t="n">
        <v>20.168</v>
      </c>
      <c r="E174" s="0" t="n">
        <v>23.822</v>
      </c>
      <c r="F174" s="0" t="n">
        <v>0.0483</v>
      </c>
      <c r="G174" s="12" t="n">
        <f aca="false">(A174+(C174*D174*COS(RADIANS(E174))^2-F174*C174*D174)*TAN(RADIANS(B174)))/(C174*D174*SIN(RADIANS(E174))*COS(RADIANS(E174)))</f>
        <v>1.80164207248044</v>
      </c>
    </row>
    <row r="175" customFormat="false" ht="15" hidden="false" customHeight="false" outlineLevel="0" collapsed="false">
      <c r="A175" s="0" t="n">
        <v>19.264</v>
      </c>
      <c r="B175" s="0" t="n">
        <v>33.85</v>
      </c>
      <c r="C175" s="0" t="n">
        <v>18.608</v>
      </c>
      <c r="D175" s="0" t="n">
        <v>15.269</v>
      </c>
      <c r="E175" s="0" t="n">
        <v>28.067</v>
      </c>
      <c r="F175" s="0" t="n">
        <v>0.1032</v>
      </c>
      <c r="G175" s="12" t="n">
        <f aca="false">(A175+(C175*D175*COS(RADIANS(E175))^2-F175*C175*D175)*TAN(RADIANS(B175)))/(C175*D175*SIN(RADIANS(E175))*COS(RADIANS(E175)))</f>
        <v>1.25445380230178</v>
      </c>
    </row>
    <row r="176" customFormat="false" ht="15" hidden="false" customHeight="false" outlineLevel="0" collapsed="false">
      <c r="A176" s="0" t="n">
        <v>15.628</v>
      </c>
      <c r="B176" s="0" t="n">
        <v>37.858</v>
      </c>
      <c r="C176" s="0" t="n">
        <v>20.202</v>
      </c>
      <c r="D176" s="0" t="n">
        <v>15.641</v>
      </c>
      <c r="E176" s="0" t="n">
        <v>27.949</v>
      </c>
      <c r="F176" s="0" t="n">
        <v>0.0794</v>
      </c>
      <c r="G176" s="12" t="n">
        <f aca="false">(A176+(C176*D176*COS(RADIANS(E176))^2-F176*C176*D176)*TAN(RADIANS(B176)))/(C176*D176*SIN(RADIANS(E176))*COS(RADIANS(E176)))</f>
        <v>1.43542781878981</v>
      </c>
    </row>
    <row r="177" customFormat="false" ht="15" hidden="false" customHeight="false" outlineLevel="0" collapsed="false">
      <c r="A177" s="0" t="n">
        <v>14.365</v>
      </c>
      <c r="B177" s="0" t="n">
        <v>32.738</v>
      </c>
      <c r="C177" s="0" t="n">
        <v>18.469</v>
      </c>
      <c r="D177" s="0" t="n">
        <v>15.851</v>
      </c>
      <c r="E177" s="0" t="n">
        <v>28.729</v>
      </c>
      <c r="F177" s="0" t="n">
        <v>0.076</v>
      </c>
      <c r="G177" s="12" t="n">
        <f aca="false">(A177+(C177*D177*COS(RADIANS(E177))^2-F177*C177*D177)*TAN(RADIANS(B177)))/(C177*D177*SIN(RADIANS(E177))*COS(RADIANS(E177)))</f>
        <v>1.17340765211474</v>
      </c>
    </row>
    <row r="178" customFormat="false" ht="15" hidden="false" customHeight="false" outlineLevel="0" collapsed="false">
      <c r="A178" s="0" t="n">
        <v>10.857</v>
      </c>
      <c r="B178" s="0" t="n">
        <v>35.653</v>
      </c>
      <c r="C178" s="0" t="n">
        <v>20.399</v>
      </c>
      <c r="D178" s="0" t="n">
        <v>18.426</v>
      </c>
      <c r="E178" s="0" t="n">
        <v>27.291</v>
      </c>
      <c r="F178" s="0" t="n">
        <v>0.0644</v>
      </c>
      <c r="G178" s="12" t="n">
        <f aca="false">(A178+(C178*D178*COS(RADIANS(E178))^2-F178*C178*D178)*TAN(RADIANS(B178)))/(C178*D178*SIN(RADIANS(E178))*COS(RADIANS(E178)))</f>
        <v>1.3478524567292</v>
      </c>
    </row>
    <row r="179" customFormat="false" ht="15" hidden="false" customHeight="false" outlineLevel="0" collapsed="false">
      <c r="A179" s="0" t="n">
        <v>8.301</v>
      </c>
      <c r="B179" s="0" t="n">
        <v>32.973</v>
      </c>
      <c r="C179" s="0" t="n">
        <v>18.978</v>
      </c>
      <c r="D179" s="0" t="n">
        <v>17.278</v>
      </c>
      <c r="E179" s="0" t="n">
        <v>32.551</v>
      </c>
      <c r="F179" s="0" t="n">
        <v>0.0687</v>
      </c>
      <c r="G179" s="12" t="n">
        <f aca="false">(A179+(C179*D179*COS(RADIANS(E179))^2-F179*C179*D179)*TAN(RADIANS(B179)))/(C179*D179*SIN(RADIANS(E179))*COS(RADIANS(E179)))</f>
        <v>0.973865916426977</v>
      </c>
    </row>
    <row r="180" customFormat="false" ht="15" hidden="false" customHeight="false" outlineLevel="0" collapsed="false">
      <c r="A180" s="0" t="n">
        <v>13.055</v>
      </c>
      <c r="B180" s="0" t="n">
        <v>30.008</v>
      </c>
      <c r="C180" s="0" t="n">
        <v>19.363</v>
      </c>
      <c r="D180" s="0" t="n">
        <v>10.031</v>
      </c>
      <c r="E180" s="0" t="n">
        <v>29.737</v>
      </c>
      <c r="F180" s="0" t="n">
        <v>0.1318</v>
      </c>
      <c r="G180" s="12" t="n">
        <f aca="false">(A180+(C180*D180*COS(RADIANS(E180))^2-F180*C180*D180)*TAN(RADIANS(B180)))/(C180*D180*SIN(RADIANS(E180))*COS(RADIANS(E180)))</f>
        <v>0.990335318102031</v>
      </c>
    </row>
    <row r="181" customFormat="false" ht="15" hidden="false" customHeight="false" outlineLevel="0" collapsed="false">
      <c r="A181" s="0" t="n">
        <v>14.785</v>
      </c>
      <c r="B181" s="0" t="n">
        <v>37.75</v>
      </c>
      <c r="C181" s="0" t="n">
        <v>20.274</v>
      </c>
      <c r="D181" s="0" t="n">
        <v>16.326</v>
      </c>
      <c r="E181" s="0" t="n">
        <v>28.052</v>
      </c>
      <c r="F181" s="0" t="n">
        <v>0.2853</v>
      </c>
      <c r="G181" s="12" t="n">
        <f aca="false">(A181+(C181*D181*COS(RADIANS(E181))^2-F181*C181*D181)*TAN(RADIANS(B181)))/(C181*D181*SIN(RADIANS(E181))*COS(RADIANS(E181)))</f>
        <v>1.02839640247041</v>
      </c>
    </row>
    <row r="182" customFormat="false" ht="15" hidden="false" customHeight="false" outlineLevel="0" collapsed="false">
      <c r="A182" s="0" t="n">
        <v>22.072</v>
      </c>
      <c r="B182" s="0" t="n">
        <v>31.918</v>
      </c>
      <c r="C182" s="0" t="n">
        <v>18.621</v>
      </c>
      <c r="D182" s="0" t="n">
        <v>12.411</v>
      </c>
      <c r="E182" s="0" t="n">
        <v>29.637</v>
      </c>
      <c r="F182" s="0" t="n">
        <v>0.0245</v>
      </c>
      <c r="G182" s="12" t="n">
        <f aca="false">(A182+(C182*D182*COS(RADIANS(E182))^2-F182*C182*D182)*TAN(RADIANS(B182)))/(C182*D182*SIN(RADIANS(E182))*COS(RADIANS(E182)))</f>
        <v>1.28152257178705</v>
      </c>
    </row>
    <row r="183" customFormat="false" ht="15" hidden="false" customHeight="false" outlineLevel="0" collapsed="false">
      <c r="A183" s="0" t="n">
        <v>15.521</v>
      </c>
      <c r="B183" s="0" t="n">
        <v>32.771</v>
      </c>
      <c r="C183" s="0" t="n">
        <v>20.61</v>
      </c>
      <c r="D183" s="0" t="n">
        <v>19.344</v>
      </c>
      <c r="E183" s="0" t="n">
        <v>28.632</v>
      </c>
      <c r="F183" s="0" t="n">
        <v>0.2016</v>
      </c>
      <c r="G183" s="12" t="n">
        <f aca="false">(A183+(C183*D183*COS(RADIANS(E183))^2-F183*C183*D183)*TAN(RADIANS(B183)))/(C183*D183*SIN(RADIANS(E183))*COS(RADIANS(E183)))</f>
        <v>0.963133926483666</v>
      </c>
    </row>
    <row r="184" customFormat="false" ht="15" hidden="false" customHeight="false" outlineLevel="0" collapsed="false">
      <c r="A184" s="0" t="n">
        <v>18.931</v>
      </c>
      <c r="B184" s="0" t="n">
        <v>33.911</v>
      </c>
      <c r="C184" s="0" t="n">
        <v>19.574</v>
      </c>
      <c r="D184" s="0" t="n">
        <v>16.238</v>
      </c>
      <c r="E184" s="0" t="n">
        <v>28.019</v>
      </c>
      <c r="F184" s="0" t="n">
        <v>0.1345</v>
      </c>
      <c r="G184" s="12" t="n">
        <f aca="false">(A184+(C184*D184*COS(RADIANS(E184))^2-F184*C184*D184)*TAN(RADIANS(B184)))/(C184*D184*SIN(RADIANS(E184))*COS(RADIANS(E184)))</f>
        <v>1.18890229254278</v>
      </c>
    </row>
    <row r="185" customFormat="false" ht="15" hidden="false" customHeight="false" outlineLevel="0" collapsed="false">
      <c r="A185" s="0" t="n">
        <v>13.003</v>
      </c>
      <c r="B185" s="0" t="n">
        <v>40.694</v>
      </c>
      <c r="C185" s="0" t="n">
        <v>19.162</v>
      </c>
      <c r="D185" s="0" t="n">
        <v>13.835</v>
      </c>
      <c r="E185" s="0" t="n">
        <v>27.805</v>
      </c>
      <c r="F185" s="0" t="n">
        <v>0.1725</v>
      </c>
      <c r="G185" s="12" t="n">
        <f aca="false">(A185+(C185*D185*COS(RADIANS(E185))^2-F185*C185*D185)*TAN(RADIANS(B185)))/(C185*D185*SIN(RADIANS(E185))*COS(RADIANS(E185)))</f>
        <v>1.39005182804353</v>
      </c>
    </row>
    <row r="186" customFormat="false" ht="15" hidden="false" customHeight="false" outlineLevel="0" collapsed="false">
      <c r="A186" s="0" t="n">
        <v>10.26</v>
      </c>
      <c r="B186" s="0" t="n">
        <v>39.869</v>
      </c>
      <c r="C186" s="0" t="n">
        <v>19.457</v>
      </c>
      <c r="D186" s="0" t="n">
        <v>16.432</v>
      </c>
      <c r="E186" s="0" t="n">
        <v>29.034</v>
      </c>
      <c r="F186" s="0" t="n">
        <v>0.2027</v>
      </c>
      <c r="G186" s="12" t="n">
        <f aca="false">(A186+(C186*D186*COS(RADIANS(E186))^2-F186*C186*D186)*TAN(RADIANS(B186)))/(C186*D186*SIN(RADIANS(E186))*COS(RADIANS(E186)))</f>
        <v>1.18131180481604</v>
      </c>
    </row>
    <row r="187" customFormat="false" ht="15" hidden="false" customHeight="false" outlineLevel="0" collapsed="false">
      <c r="A187" s="0" t="n">
        <v>11.14</v>
      </c>
      <c r="B187" s="0" t="n">
        <v>29.954</v>
      </c>
      <c r="C187" s="0" t="n">
        <v>19.141</v>
      </c>
      <c r="D187" s="0" t="n">
        <v>17.4</v>
      </c>
      <c r="E187" s="0" t="n">
        <v>24.158</v>
      </c>
      <c r="F187" s="0" t="n">
        <v>0.3089</v>
      </c>
      <c r="G187" s="12" t="n">
        <f aca="false">(A187+(C187*D187*COS(RADIANS(E187))^2-F187*C187*D187)*TAN(RADIANS(B187)))/(C187*D187*SIN(RADIANS(E187))*COS(RADIANS(E187)))</f>
        <v>0.897654006962469</v>
      </c>
    </row>
    <row r="188" customFormat="false" ht="15" hidden="false" customHeight="false" outlineLevel="0" collapsed="false">
      <c r="A188" s="0" t="n">
        <v>12.099</v>
      </c>
      <c r="B188" s="0" t="n">
        <v>31.283</v>
      </c>
      <c r="C188" s="0" t="n">
        <v>19.123</v>
      </c>
      <c r="D188" s="0" t="n">
        <v>9.111</v>
      </c>
      <c r="E188" s="0" t="n">
        <v>30.437</v>
      </c>
      <c r="F188" s="0" t="n">
        <v>0.0473</v>
      </c>
      <c r="G188" s="12" t="n">
        <f aca="false">(A188+(C188*D188*COS(RADIANS(E188))^2-F188*C188*D188)*TAN(RADIANS(B188)))/(C188*D188*SIN(RADIANS(E188))*COS(RADIANS(E188)))</f>
        <v>1.12729415497716</v>
      </c>
    </row>
    <row r="189" customFormat="false" ht="15" hidden="false" customHeight="false" outlineLevel="0" collapsed="false">
      <c r="A189" s="0" t="n">
        <v>23.514</v>
      </c>
      <c r="B189" s="0" t="n">
        <v>40.628</v>
      </c>
      <c r="C189" s="0" t="n">
        <v>20.103</v>
      </c>
      <c r="D189" s="0" t="n">
        <v>12.89</v>
      </c>
      <c r="E189" s="0" t="n">
        <v>27.273</v>
      </c>
      <c r="F189" s="0" t="n">
        <v>0.1916</v>
      </c>
      <c r="G189" s="12" t="n">
        <f aca="false">(A189+(C189*D189*COS(RADIANS(E189))^2-F189*C189*D189)*TAN(RADIANS(B189)))/(C189*D189*SIN(RADIANS(E189))*COS(RADIANS(E189)))</f>
        <v>1.48336864038193</v>
      </c>
    </row>
    <row r="190" customFormat="false" ht="15" hidden="false" customHeight="false" outlineLevel="0" collapsed="false">
      <c r="A190" s="0" t="n">
        <v>11.714</v>
      </c>
      <c r="B190" s="0" t="n">
        <v>41.557</v>
      </c>
      <c r="C190" s="0" t="n">
        <v>21.788</v>
      </c>
      <c r="D190" s="0" t="n">
        <v>14.816</v>
      </c>
      <c r="E190" s="0" t="n">
        <v>28.776</v>
      </c>
      <c r="F190" s="0" t="n">
        <v>0.1162</v>
      </c>
      <c r="G190" s="12" t="n">
        <f aca="false">(A190+(C190*D190*COS(RADIANS(E190))^2-F190*C190*D190)*TAN(RADIANS(B190)))/(C190*D190*SIN(RADIANS(E190))*COS(RADIANS(E190)))</f>
        <v>1.45600326175237</v>
      </c>
    </row>
    <row r="191" customFormat="false" ht="15" hidden="false" customHeight="false" outlineLevel="0" collapsed="false">
      <c r="A191" s="0" t="n">
        <v>18.354</v>
      </c>
      <c r="B191" s="0" t="n">
        <v>36.435</v>
      </c>
      <c r="C191" s="0" t="n">
        <v>20.621</v>
      </c>
      <c r="D191" s="0" t="n">
        <v>17.606</v>
      </c>
      <c r="E191" s="0" t="n">
        <v>27.17</v>
      </c>
      <c r="F191" s="0" t="n">
        <v>0.2081</v>
      </c>
      <c r="G191" s="12" t="n">
        <f aca="false">(A191+(C191*D191*COS(RADIANS(E191))^2-F191*C191*D191)*TAN(RADIANS(B191)))/(C191*D191*SIN(RADIANS(E191))*COS(RADIANS(E191)))</f>
        <v>1.18454257150147</v>
      </c>
    </row>
    <row r="192" customFormat="false" ht="15" hidden="false" customHeight="false" outlineLevel="0" collapsed="false">
      <c r="A192" s="0" t="n">
        <v>11.388</v>
      </c>
      <c r="B192" s="0" t="n">
        <v>35.412</v>
      </c>
      <c r="C192" s="0" t="n">
        <v>19.323</v>
      </c>
      <c r="D192" s="0" t="n">
        <v>19.49</v>
      </c>
      <c r="E192" s="0" t="n">
        <v>22.829</v>
      </c>
      <c r="F192" s="0" t="n">
        <v>0.1542</v>
      </c>
      <c r="G192" s="12" t="n">
        <f aca="false">(A192+(C192*D192*COS(RADIANS(E192))^2-F192*C192*D192)*TAN(RADIANS(B192)))/(C192*D192*SIN(RADIANS(E192))*COS(RADIANS(E192)))</f>
        <v>1.46693112399872</v>
      </c>
    </row>
    <row r="193" customFormat="false" ht="15" hidden="false" customHeight="false" outlineLevel="0" collapsed="false">
      <c r="A193" s="0" t="n">
        <v>18.726</v>
      </c>
      <c r="B193" s="0" t="n">
        <v>34.813</v>
      </c>
      <c r="C193" s="0" t="n">
        <v>19.51</v>
      </c>
      <c r="D193" s="0" t="n">
        <v>19.36</v>
      </c>
      <c r="E193" s="0" t="n">
        <v>29.689</v>
      </c>
      <c r="F193" s="0" t="n">
        <v>0.0482</v>
      </c>
      <c r="G193" s="12" t="n">
        <f aca="false">(A193+(C193*D193*COS(RADIANS(E193))^2-F193*C193*D193)*TAN(RADIANS(B193)))/(C193*D193*SIN(RADIANS(E193))*COS(RADIANS(E193)))</f>
        <v>1.25695828642866</v>
      </c>
    </row>
    <row r="194" customFormat="false" ht="15" hidden="false" customHeight="false" outlineLevel="0" collapsed="false">
      <c r="A194" s="0" t="n">
        <v>16.54</v>
      </c>
      <c r="B194" s="0" t="n">
        <v>34.342</v>
      </c>
      <c r="C194" s="0" t="n">
        <v>18.535</v>
      </c>
      <c r="D194" s="0" t="n">
        <v>13.997</v>
      </c>
      <c r="E194" s="0" t="n">
        <v>28.938</v>
      </c>
      <c r="F194" s="0" t="n">
        <v>0.2308</v>
      </c>
      <c r="G194" s="12" t="n">
        <f aca="false">(A194+(C194*D194*COS(RADIANS(E194))^2-F194*C194*D194)*TAN(RADIANS(B194)))/(C194*D194*SIN(RADIANS(E194))*COS(RADIANS(E194)))</f>
        <v>1.01389552335302</v>
      </c>
    </row>
    <row r="195" customFormat="false" ht="15" hidden="false" customHeight="false" outlineLevel="0" collapsed="false">
      <c r="A195" s="0" t="n">
        <v>14.373</v>
      </c>
      <c r="B195" s="0" t="n">
        <v>31.256</v>
      </c>
      <c r="C195" s="0" t="n">
        <v>19.773</v>
      </c>
      <c r="D195" s="0" t="n">
        <v>12.531</v>
      </c>
      <c r="E195" s="0" t="n">
        <v>25.884</v>
      </c>
      <c r="F195" s="0" t="n">
        <v>0.187</v>
      </c>
      <c r="G195" s="12" t="n">
        <f aca="false">(A195+(C195*D195*COS(RADIANS(E195))^2-F195*C195*D195)*TAN(RADIANS(B195)))/(C195*D195*SIN(RADIANS(E195))*COS(RADIANS(E195)))</f>
        <v>1.10957848107476</v>
      </c>
    </row>
    <row r="196" customFormat="false" ht="15" hidden="false" customHeight="false" outlineLevel="0" collapsed="false">
      <c r="A196" s="0" t="n">
        <v>14.837</v>
      </c>
      <c r="B196" s="0" t="n">
        <v>37.482</v>
      </c>
      <c r="C196" s="0" t="n">
        <v>19.57</v>
      </c>
      <c r="D196" s="0" t="n">
        <v>11.496</v>
      </c>
      <c r="E196" s="0" t="n">
        <v>29.948</v>
      </c>
      <c r="F196" s="0" t="n">
        <v>0.1233</v>
      </c>
      <c r="G196" s="12" t="n">
        <f aca="false">(A196+(C196*D196*COS(RADIANS(E196))^2-F196*C196*D196)*TAN(RADIANS(B196)))/(C196*D196*SIN(RADIANS(E196))*COS(RADIANS(E196)))</f>
        <v>1.26485298090974</v>
      </c>
    </row>
    <row r="197" customFormat="false" ht="15" hidden="false" customHeight="false" outlineLevel="0" collapsed="false">
      <c r="A197" s="0" t="n">
        <v>12.381</v>
      </c>
      <c r="B197" s="0" t="n">
        <v>32.172</v>
      </c>
      <c r="C197" s="0" t="n">
        <v>19.379</v>
      </c>
      <c r="D197" s="0" t="n">
        <v>16.433</v>
      </c>
      <c r="E197" s="0" t="n">
        <v>26.002</v>
      </c>
      <c r="F197" s="0" t="n">
        <v>0.3182</v>
      </c>
      <c r="G197" s="12" t="n">
        <f aca="false">(A197+(C197*D197*COS(RADIANS(E197))^2-F197*C197*D197)*TAN(RADIANS(B197)))/(C197*D197*SIN(RADIANS(E197))*COS(RADIANS(E197)))</f>
        <v>0.880305159889929</v>
      </c>
    </row>
    <row r="198" customFormat="false" ht="15" hidden="false" customHeight="false" outlineLevel="0" collapsed="false">
      <c r="A198" s="0" t="n">
        <v>16.784</v>
      </c>
      <c r="B198" s="0" t="n">
        <v>36.959</v>
      </c>
      <c r="C198" s="0" t="n">
        <v>20.563</v>
      </c>
      <c r="D198" s="0" t="n">
        <v>15.262</v>
      </c>
      <c r="E198" s="0" t="n">
        <v>27.627</v>
      </c>
      <c r="F198" s="0" t="n">
        <v>0</v>
      </c>
      <c r="G198" s="12" t="n">
        <f aca="false">(A198+(C198*D198*COS(RADIANS(E198))^2-F198*C198*D198)*TAN(RADIANS(B198)))/(C198*D198*SIN(RADIANS(E198))*COS(RADIANS(E198)))</f>
        <v>1.56779372859315</v>
      </c>
    </row>
    <row r="199" customFormat="false" ht="15" hidden="false" customHeight="false" outlineLevel="0" collapsed="false">
      <c r="A199" s="0" t="n">
        <v>13.18</v>
      </c>
      <c r="B199" s="0" t="n">
        <v>35.103</v>
      </c>
      <c r="C199" s="0" t="n">
        <v>19.743</v>
      </c>
      <c r="D199" s="0" t="n">
        <v>15.082</v>
      </c>
      <c r="E199" s="0" t="n">
        <v>24.991</v>
      </c>
      <c r="F199" s="0" t="n">
        <v>0.0513</v>
      </c>
      <c r="G199" s="12" t="n">
        <f aca="false">(A199+(C199*D199*COS(RADIANS(E199))^2-F199*C199*D199)*TAN(RADIANS(B199)))/(C199*D199*SIN(RADIANS(E199))*COS(RADIANS(E199)))</f>
        <v>1.52939821814677</v>
      </c>
    </row>
    <row r="200" customFormat="false" ht="15" hidden="false" customHeight="false" outlineLevel="0" collapsed="false">
      <c r="A200" s="0" t="n">
        <v>10.098</v>
      </c>
      <c r="B200" s="0" t="n">
        <v>38.285</v>
      </c>
      <c r="C200" s="0" t="n">
        <v>20.325</v>
      </c>
      <c r="D200" s="0" t="n">
        <v>15.619</v>
      </c>
      <c r="E200" s="0" t="n">
        <v>30.05</v>
      </c>
      <c r="F200" s="0" t="n">
        <v>0.154</v>
      </c>
      <c r="G200" s="12" t="n">
        <f aca="false">(A200+(C200*D200*COS(RADIANS(E200))^2-F200*C200*D200)*TAN(RADIANS(B200)))/(C200*D200*SIN(RADIANS(E200))*COS(RADIANS(E200)))</f>
        <v>1.15734986971762</v>
      </c>
    </row>
    <row r="201" customFormat="false" ht="15" hidden="false" customHeight="false" outlineLevel="0" collapsed="false">
      <c r="A201" s="0" t="n">
        <v>9.888</v>
      </c>
      <c r="B201" s="0" t="n">
        <v>32.943</v>
      </c>
      <c r="C201" s="0" t="n">
        <v>20.468</v>
      </c>
      <c r="D201" s="0" t="n">
        <v>18.241</v>
      </c>
      <c r="E201" s="0" t="n">
        <v>30.521</v>
      </c>
      <c r="F201" s="0" t="n">
        <v>0.3006</v>
      </c>
      <c r="G201" s="12" t="n">
        <f aca="false">(A201+(C201*D201*COS(RADIANS(E201))^2-F201*C201*D201)*TAN(RADIANS(B201)))/(C201*D201*SIN(RADIANS(E201))*COS(RADIANS(E201)))</f>
        <v>0.714450704267882</v>
      </c>
    </row>
    <row r="202" customFormat="false" ht="15" hidden="false" customHeight="false" outlineLevel="0" collapsed="false">
      <c r="A202" s="0" t="n">
        <v>15.69</v>
      </c>
      <c r="B202" s="0" t="n">
        <v>31.171</v>
      </c>
      <c r="C202" s="0" t="n">
        <v>20.062</v>
      </c>
      <c r="D202" s="0" t="n">
        <v>16.142</v>
      </c>
      <c r="E202" s="0" t="n">
        <v>30.116</v>
      </c>
      <c r="F202" s="0" t="n">
        <v>0.116</v>
      </c>
      <c r="G202" s="12" t="n">
        <f aca="false">(A202+(C202*D202*COS(RADIANS(E202))^2-F202*C202*D202)*TAN(RADIANS(B202)))/(C202*D202*SIN(RADIANS(E202))*COS(RADIANS(E202)))</f>
        <v>0.992839053132444</v>
      </c>
    </row>
    <row r="203" customFormat="false" ht="15" hidden="false" customHeight="false" outlineLevel="0" collapsed="false">
      <c r="A203" s="0" t="n">
        <v>21.316</v>
      </c>
      <c r="B203" s="0" t="n">
        <v>31.965</v>
      </c>
      <c r="C203" s="0" t="n">
        <v>20.246</v>
      </c>
      <c r="D203" s="0" t="n">
        <v>15.947</v>
      </c>
      <c r="E203" s="0" t="n">
        <v>28.881</v>
      </c>
      <c r="F203" s="0" t="n">
        <v>0.0571</v>
      </c>
      <c r="G203" s="12" t="n">
        <f aca="false">(A203+(C203*D203*COS(RADIANS(E203))^2-F203*C203*D203)*TAN(RADIANS(B203)))/(C203*D203*SIN(RADIANS(E203))*COS(RADIANS(E203)))</f>
        <v>1.20315554199308</v>
      </c>
    </row>
    <row r="204" customFormat="false" ht="15" hidden="false" customHeight="false" outlineLevel="0" collapsed="false">
      <c r="A204" s="0" t="n">
        <v>15.64</v>
      </c>
      <c r="B204" s="0" t="n">
        <v>34.935</v>
      </c>
      <c r="C204" s="0" t="n">
        <v>19.89</v>
      </c>
      <c r="D204" s="0" t="n">
        <v>10.415</v>
      </c>
      <c r="E204" s="0" t="n">
        <v>31.384</v>
      </c>
      <c r="F204" s="0" t="n">
        <v>0.1584</v>
      </c>
      <c r="G204" s="12" t="n">
        <f aca="false">(A204+(C204*D204*COS(RADIANS(E204))^2-F204*C204*D204)*TAN(RADIANS(B204)))/(C204*D204*SIN(RADIANS(E204))*COS(RADIANS(E204)))</f>
        <v>1.06602107825098</v>
      </c>
    </row>
    <row r="205" customFormat="false" ht="15" hidden="false" customHeight="false" outlineLevel="0" collapsed="false">
      <c r="A205" s="0" t="n">
        <v>14.525</v>
      </c>
      <c r="B205" s="0" t="n">
        <v>34.534</v>
      </c>
      <c r="C205" s="0" t="n">
        <v>20.856</v>
      </c>
      <c r="D205" s="0" t="n">
        <v>10.969</v>
      </c>
      <c r="E205" s="0" t="n">
        <v>26.988</v>
      </c>
      <c r="F205" s="0" t="n">
        <v>0.1487</v>
      </c>
      <c r="G205" s="12" t="n">
        <f aca="false">(A205+(C205*D205*COS(RADIANS(E205))^2-F205*C205*D205)*TAN(RADIANS(B205)))/(C205*D205*SIN(RADIANS(E205))*COS(RADIANS(E205)))</f>
        <v>1.25524080117686</v>
      </c>
    </row>
    <row r="206" customFormat="false" ht="15" hidden="false" customHeight="false" outlineLevel="0" collapsed="false">
      <c r="A206" s="0" t="n">
        <v>16.143</v>
      </c>
      <c r="B206" s="0" t="n">
        <v>31.153</v>
      </c>
      <c r="C206" s="0" t="n">
        <v>20.68</v>
      </c>
      <c r="D206" s="0" t="n">
        <v>10.651</v>
      </c>
      <c r="E206" s="0" t="n">
        <v>27.366</v>
      </c>
      <c r="F206" s="0" t="n">
        <v>0.1077</v>
      </c>
      <c r="G206" s="12" t="n">
        <f aca="false">(A206+(C206*D206*COS(RADIANS(E206))^2-F206*C206*D206)*TAN(RADIANS(B206)))/(C206*D206*SIN(RADIANS(E206))*COS(RADIANS(E206)))</f>
        <v>1.18794621817731</v>
      </c>
    </row>
    <row r="207" customFormat="false" ht="15" hidden="false" customHeight="false" outlineLevel="0" collapsed="false">
      <c r="A207" s="0" t="n">
        <v>20.224</v>
      </c>
      <c r="B207" s="0" t="n">
        <v>33.401</v>
      </c>
      <c r="C207" s="0" t="n">
        <v>19.256</v>
      </c>
      <c r="D207" s="0" t="n">
        <v>16.762</v>
      </c>
      <c r="E207" s="0" t="n">
        <v>28.543</v>
      </c>
      <c r="F207" s="0" t="n">
        <v>0.0864</v>
      </c>
      <c r="G207" s="12" t="n">
        <f aca="false">(A207+(C207*D207*COS(RADIANS(E207))^2-F207*C207*D207)*TAN(RADIANS(B207)))/(C207*D207*SIN(RADIANS(E207))*COS(RADIANS(E207)))</f>
        <v>1.225844483226</v>
      </c>
    </row>
    <row r="208" customFormat="false" ht="15" hidden="false" customHeight="false" outlineLevel="0" collapsed="false">
      <c r="A208" s="0" t="n">
        <v>15.878</v>
      </c>
      <c r="B208" s="0" t="n">
        <v>35.236</v>
      </c>
      <c r="C208" s="0" t="n">
        <v>21.304</v>
      </c>
      <c r="D208" s="0" t="n">
        <v>18.378</v>
      </c>
      <c r="E208" s="0" t="n">
        <v>28.419</v>
      </c>
      <c r="F208" s="0" t="n">
        <v>0.2319</v>
      </c>
      <c r="G208" s="12" t="n">
        <f aca="false">(A208+(C208*D208*COS(RADIANS(E208))^2-F208*C208*D208)*TAN(RADIANS(B208)))/(C208*D208*SIN(RADIANS(E208))*COS(RADIANS(E208)))</f>
        <v>1.01089468314782</v>
      </c>
    </row>
    <row r="209" customFormat="false" ht="15" hidden="false" customHeight="false" outlineLevel="0" collapsed="false">
      <c r="A209" s="0" t="n">
        <v>13.356</v>
      </c>
      <c r="B209" s="0" t="n">
        <v>37.12</v>
      </c>
      <c r="C209" s="0" t="n">
        <v>19.764</v>
      </c>
      <c r="D209" s="0" t="n">
        <v>14.743</v>
      </c>
      <c r="E209" s="0" t="n">
        <v>27.46</v>
      </c>
      <c r="F209" s="0" t="n">
        <v>0.283</v>
      </c>
      <c r="G209" s="12" t="n">
        <f aca="false">(A209+(C209*D209*COS(RADIANS(E209))^2-F209*C209*D209)*TAN(RADIANS(B209)))/(C209*D209*SIN(RADIANS(E209))*COS(RADIANS(E209)))</f>
        <v>1.0449267638238</v>
      </c>
    </row>
    <row r="210" customFormat="false" ht="15" hidden="false" customHeight="false" outlineLevel="0" collapsed="false">
      <c r="A210" s="0" t="n">
        <v>19.425</v>
      </c>
      <c r="B210" s="0" t="n">
        <v>34.932</v>
      </c>
      <c r="C210" s="0" t="n">
        <v>20.075</v>
      </c>
      <c r="D210" s="0" t="n">
        <v>10.189</v>
      </c>
      <c r="E210" s="0" t="n">
        <v>26.005</v>
      </c>
      <c r="F210" s="0" t="n">
        <v>0.1581</v>
      </c>
      <c r="G210" s="12" t="n">
        <f aca="false">(A210+(C210*D210*COS(RADIANS(E210))^2-F210*C210*D210)*TAN(RADIANS(B210)))/(C210*D210*SIN(RADIANS(E210))*COS(RADIANS(E210)))</f>
        <v>1.3924747801082</v>
      </c>
    </row>
    <row r="211" customFormat="false" ht="15" hidden="false" customHeight="false" outlineLevel="0" collapsed="false">
      <c r="A211" s="0" t="n">
        <v>16.715</v>
      </c>
      <c r="B211" s="0" t="n">
        <v>37.105</v>
      </c>
      <c r="C211" s="0" t="n">
        <v>20.416</v>
      </c>
      <c r="D211" s="0" t="n">
        <v>19.529</v>
      </c>
      <c r="E211" s="0" t="n">
        <v>29.021</v>
      </c>
      <c r="F211" s="0" t="n">
        <v>0.0718</v>
      </c>
      <c r="G211" s="12" t="n">
        <f aca="false">(A211+(C211*D211*COS(RADIANS(E211))^2-F211*C211*D211)*TAN(RADIANS(B211)))/(C211*D211*SIN(RADIANS(E211))*COS(RADIANS(E211)))</f>
        <v>1.33425631806777</v>
      </c>
    </row>
    <row r="212" customFormat="false" ht="15" hidden="false" customHeight="false" outlineLevel="0" collapsed="false">
      <c r="A212" s="0" t="n">
        <v>21.143</v>
      </c>
      <c r="B212" s="0" t="n">
        <v>35.127</v>
      </c>
      <c r="C212" s="0" t="n">
        <v>21.033</v>
      </c>
      <c r="D212" s="0" t="n">
        <v>14.449</v>
      </c>
      <c r="E212" s="0" t="n">
        <v>29.669</v>
      </c>
      <c r="F212" s="0" t="n">
        <v>0.244</v>
      </c>
      <c r="G212" s="12" t="n">
        <f aca="false">(A212+(C212*D212*COS(RADIANS(E212))^2-F212*C212*D212)*TAN(RADIANS(B212)))/(C212*D212*SIN(RADIANS(E212))*COS(RADIANS(E212)))</f>
        <v>0.997587907642183</v>
      </c>
    </row>
    <row r="213" customFormat="false" ht="15" hidden="false" customHeight="false" outlineLevel="0" collapsed="false">
      <c r="A213" s="0" t="n">
        <v>15.733</v>
      </c>
      <c r="B213" s="0" t="n">
        <v>35.144</v>
      </c>
      <c r="C213" s="0" t="n">
        <v>20.589</v>
      </c>
      <c r="D213" s="0" t="n">
        <v>15.024</v>
      </c>
      <c r="E213" s="0" t="n">
        <v>27.314</v>
      </c>
      <c r="F213" s="0" t="n">
        <v>0.1136</v>
      </c>
      <c r="G213" s="12" t="n">
        <f aca="false">(A213+(C213*D213*COS(RADIANS(E213))^2-F213*C213*D213)*TAN(RADIANS(B213)))/(C213*D213*SIN(RADIANS(E213))*COS(RADIANS(E213)))</f>
        <v>1.29168452119423</v>
      </c>
    </row>
    <row r="214" customFormat="false" ht="15" hidden="false" customHeight="false" outlineLevel="0" collapsed="false">
      <c r="A214" s="0" t="n">
        <v>10.102</v>
      </c>
      <c r="B214" s="0" t="n">
        <v>36.501</v>
      </c>
      <c r="C214" s="0" t="n">
        <v>20.264</v>
      </c>
      <c r="D214" s="0" t="n">
        <v>9.399</v>
      </c>
      <c r="E214" s="0" t="n">
        <v>31.466</v>
      </c>
      <c r="F214" s="0" t="n">
        <v>0.0594</v>
      </c>
      <c r="G214" s="12" t="n">
        <f aca="false">(A214+(C214*D214*COS(RADIANS(E214))^2-F214*C214*D214)*TAN(RADIANS(B214)))/(C214*D214*SIN(RADIANS(E214))*COS(RADIANS(E214)))</f>
        <v>1.22956437458308</v>
      </c>
    </row>
    <row r="215" customFormat="false" ht="15" hidden="false" customHeight="false" outlineLevel="0" collapsed="false">
      <c r="A215" s="0" t="n">
        <v>9.527</v>
      </c>
      <c r="B215" s="0" t="n">
        <v>31.424</v>
      </c>
      <c r="C215" s="0" t="n">
        <v>19.762</v>
      </c>
      <c r="D215" s="0" t="n">
        <v>13.591</v>
      </c>
      <c r="E215" s="0" t="n">
        <v>25.112</v>
      </c>
      <c r="F215" s="0" t="n">
        <v>0.1133</v>
      </c>
      <c r="G215" s="12" t="n">
        <f aca="false">(A215+(C215*D215*COS(RADIANS(E215))^2-F215*C215*D215)*TAN(RADIANS(B215)))/(C215*D215*SIN(RADIANS(E215))*COS(RADIANS(E215)))</f>
        <v>1.2157522548954</v>
      </c>
    </row>
    <row r="216" customFormat="false" ht="15" hidden="false" customHeight="false" outlineLevel="0" collapsed="false">
      <c r="A216" s="0" t="n">
        <v>21.604</v>
      </c>
      <c r="B216" s="0" t="n">
        <v>40.66</v>
      </c>
      <c r="C216" s="0" t="n">
        <v>18.77</v>
      </c>
      <c r="D216" s="0" t="n">
        <v>15.851</v>
      </c>
      <c r="E216" s="0" t="n">
        <v>24.359</v>
      </c>
      <c r="F216" s="0" t="n">
        <v>0.0287</v>
      </c>
      <c r="G216" s="12" t="n">
        <f aca="false">(A216+(C216*D216*COS(RADIANS(E216))^2-F216*C216*D216)*TAN(RADIANS(B216)))/(C216*D216*SIN(RADIANS(E216))*COS(RADIANS(E216)))</f>
        <v>2.0247374371416</v>
      </c>
    </row>
    <row r="217" customFormat="false" ht="15" hidden="false" customHeight="false" outlineLevel="0" collapsed="false">
      <c r="A217" s="0" t="n">
        <v>21.895</v>
      </c>
      <c r="B217" s="0" t="n">
        <v>35.233</v>
      </c>
      <c r="C217" s="0" t="n">
        <v>21.232</v>
      </c>
      <c r="D217" s="0" t="n">
        <v>20.749</v>
      </c>
      <c r="E217" s="0" t="n">
        <v>27.8</v>
      </c>
      <c r="F217" s="0" t="n">
        <v>0.3473</v>
      </c>
      <c r="G217" s="12" t="n">
        <f aca="false">(A217+(C217*D217*COS(RADIANS(E217))^2-F217*C217*D217)*TAN(RADIANS(B217)))/(C217*D217*SIN(RADIANS(E217))*COS(RADIANS(E217)))</f>
        <v>0.865490080302241</v>
      </c>
    </row>
    <row r="218" customFormat="false" ht="15" hidden="false" customHeight="false" outlineLevel="0" collapsed="false">
      <c r="A218" s="0" t="n">
        <v>14.282</v>
      </c>
      <c r="B218" s="0" t="n">
        <v>34.736</v>
      </c>
      <c r="C218" s="0" t="n">
        <v>20.862</v>
      </c>
      <c r="D218" s="0" t="n">
        <v>21.88</v>
      </c>
      <c r="E218" s="0" t="n">
        <v>28.375</v>
      </c>
      <c r="F218" s="0" t="n">
        <v>0.2519</v>
      </c>
      <c r="G218" s="12" t="n">
        <f aca="false">(A218+(C218*D218*COS(RADIANS(E218))^2-F218*C218*D218)*TAN(RADIANS(B218)))/(C218*D218*SIN(RADIANS(E218))*COS(RADIANS(E218)))</f>
        <v>0.940814217651445</v>
      </c>
    </row>
    <row r="219" customFormat="false" ht="15" hidden="false" customHeight="false" outlineLevel="0" collapsed="false">
      <c r="A219" s="0" t="n">
        <v>13.467</v>
      </c>
      <c r="B219" s="0" t="n">
        <v>35.747</v>
      </c>
      <c r="C219" s="0" t="n">
        <v>19.632</v>
      </c>
      <c r="D219" s="0" t="n">
        <v>12.29</v>
      </c>
      <c r="E219" s="0" t="n">
        <v>27.382</v>
      </c>
      <c r="F219" s="0" t="n">
        <v>0.0529</v>
      </c>
      <c r="G219" s="12" t="n">
        <f aca="false">(A219+(C219*D219*COS(RADIANS(E219))^2-F219*C219*D219)*TAN(RADIANS(B219)))/(C219*D219*SIN(RADIANS(E219))*COS(RADIANS(E219)))</f>
        <v>1.43316878920674</v>
      </c>
    </row>
    <row r="220" customFormat="false" ht="15" hidden="false" customHeight="false" outlineLevel="0" collapsed="false">
      <c r="A220" s="0" t="n">
        <v>20.846</v>
      </c>
      <c r="B220" s="0" t="n">
        <v>38.418</v>
      </c>
      <c r="C220" s="0" t="n">
        <v>20.563</v>
      </c>
      <c r="D220" s="0" t="n">
        <v>17.858</v>
      </c>
      <c r="E220" s="0" t="n">
        <v>26.845</v>
      </c>
      <c r="F220" s="0" t="n">
        <v>0.0554</v>
      </c>
      <c r="G220" s="12" t="n">
        <f aca="false">(A220+(C220*D220*COS(RADIANS(E220))^2-F220*C220*D220)*TAN(RADIANS(B220)))/(C220*D220*SIN(RADIANS(E220))*COS(RADIANS(E220)))</f>
        <v>1.59885899444445</v>
      </c>
    </row>
    <row r="221" customFormat="false" ht="15" hidden="false" customHeight="false" outlineLevel="0" collapsed="false">
      <c r="A221" s="0" t="n">
        <v>10.572</v>
      </c>
      <c r="B221" s="0" t="n">
        <v>36.248</v>
      </c>
      <c r="C221" s="0" t="n">
        <v>19.388</v>
      </c>
      <c r="D221" s="0" t="n">
        <v>11.254</v>
      </c>
      <c r="E221" s="0" t="n">
        <v>31.446</v>
      </c>
      <c r="F221" s="0" t="n">
        <v>0.1223</v>
      </c>
      <c r="G221" s="12" t="n">
        <f aca="false">(A221+(C221*D221*COS(RADIANS(E221))^2-F221*C221*D221)*TAN(RADIANS(B221)))/(C221*D221*SIN(RADIANS(E221))*COS(RADIANS(E221)))</f>
        <v>1.10636837071582</v>
      </c>
    </row>
    <row r="222" customFormat="false" ht="15" hidden="false" customHeight="false" outlineLevel="0" collapsed="false">
      <c r="A222" s="0" t="n">
        <v>11.421</v>
      </c>
      <c r="B222" s="0" t="n">
        <v>36.912</v>
      </c>
      <c r="C222" s="0" t="n">
        <v>21.044</v>
      </c>
      <c r="D222" s="0" t="n">
        <v>17.121</v>
      </c>
      <c r="E222" s="0" t="n">
        <v>27.477</v>
      </c>
      <c r="F222" s="0" t="n">
        <v>0</v>
      </c>
      <c r="G222" s="12" t="n">
        <f aca="false">(A222+(C222*D222*COS(RADIANS(E222))^2-F222*C222*D222)*TAN(RADIANS(B222)))/(C222*D222*SIN(RADIANS(E222))*COS(RADIANS(E222)))</f>
        <v>1.52179716499053</v>
      </c>
    </row>
    <row r="223" customFormat="false" ht="15" hidden="false" customHeight="false" outlineLevel="0" collapsed="false">
      <c r="A223" s="0" t="n">
        <v>17.573</v>
      </c>
      <c r="B223" s="0" t="n">
        <v>35.267</v>
      </c>
      <c r="C223" s="0" t="n">
        <v>21.38</v>
      </c>
      <c r="D223" s="0" t="n">
        <v>14.084</v>
      </c>
      <c r="E223" s="0" t="n">
        <v>30.593</v>
      </c>
      <c r="F223" s="0" t="n">
        <v>0.1937</v>
      </c>
      <c r="G223" s="12" t="n">
        <f aca="false">(A223+(C223*D223*COS(RADIANS(E223))^2-F223*C223*D223)*TAN(RADIANS(B223)))/(C223*D223*SIN(RADIANS(E223))*COS(RADIANS(E223)))</f>
        <v>1.01664176887684</v>
      </c>
    </row>
    <row r="224" customFormat="false" ht="15" hidden="false" customHeight="false" outlineLevel="0" collapsed="false">
      <c r="A224" s="0" t="n">
        <v>13.422</v>
      </c>
      <c r="B224" s="0" t="n">
        <v>31.757</v>
      </c>
      <c r="C224" s="0" t="n">
        <v>21.347</v>
      </c>
      <c r="D224" s="0" t="n">
        <v>14.686</v>
      </c>
      <c r="E224" s="0" t="n">
        <v>27.785</v>
      </c>
      <c r="F224" s="0" t="n">
        <v>0.1717</v>
      </c>
      <c r="G224" s="12" t="n">
        <f aca="false">(A224+(C224*D224*COS(RADIANS(E224))^2-F224*C224*D224)*TAN(RADIANS(B224)))/(C224*D224*SIN(RADIANS(E224))*COS(RADIANS(E224)))</f>
        <v>1.02086648941922</v>
      </c>
    </row>
    <row r="225" customFormat="false" ht="15" hidden="false" customHeight="false" outlineLevel="0" collapsed="false">
      <c r="A225" s="0" t="n">
        <v>14.98</v>
      </c>
      <c r="B225" s="0" t="n">
        <v>27.213</v>
      </c>
      <c r="C225" s="0" t="n">
        <v>21.04</v>
      </c>
      <c r="D225" s="0" t="n">
        <v>15.448</v>
      </c>
      <c r="E225" s="0" t="n">
        <v>28.94</v>
      </c>
      <c r="F225" s="0" t="n">
        <v>0.2326</v>
      </c>
      <c r="G225" s="12" t="n">
        <f aca="false">(A225+(C225*D225*COS(RADIANS(E225))^2-F225*C225*D225)*TAN(RADIANS(B225)))/(C225*D225*SIN(RADIANS(E225))*COS(RADIANS(E225)))</f>
        <v>0.756357624010187</v>
      </c>
    </row>
    <row r="226" customFormat="false" ht="15" hidden="false" customHeight="false" outlineLevel="0" collapsed="false">
      <c r="A226" s="0" t="n">
        <v>14.346</v>
      </c>
      <c r="B226" s="0" t="n">
        <v>37.489</v>
      </c>
      <c r="C226" s="0" t="n">
        <v>20.39</v>
      </c>
      <c r="D226" s="0" t="n">
        <v>14.183</v>
      </c>
      <c r="E226" s="0" t="n">
        <v>27.303</v>
      </c>
      <c r="F226" s="0" t="n">
        <v>0.0644</v>
      </c>
      <c r="G226" s="12" t="n">
        <f aca="false">(A226+(C226*D226*COS(RADIANS(E226))^2-F226*C226*D226)*TAN(RADIANS(B226)))/(C226*D226*SIN(RADIANS(E226))*COS(RADIANS(E226)))</f>
        <v>1.48640486537947</v>
      </c>
    </row>
    <row r="227" customFormat="false" ht="15" hidden="false" customHeight="false" outlineLevel="0" collapsed="false">
      <c r="A227" s="0" t="n">
        <v>16.35</v>
      </c>
      <c r="B227" s="0" t="n">
        <v>38.027</v>
      </c>
      <c r="C227" s="0" t="n">
        <v>21.294</v>
      </c>
      <c r="D227" s="0" t="n">
        <v>14.566</v>
      </c>
      <c r="E227" s="0" t="n">
        <v>29.544</v>
      </c>
      <c r="F227" s="0" t="n">
        <v>0</v>
      </c>
      <c r="G227" s="12" t="n">
        <f aca="false">(A227+(C227*D227*COS(RADIANS(E227))^2-F227*C227*D227)*TAN(RADIANS(B227)))/(C227*D227*SIN(RADIANS(E227))*COS(RADIANS(E227)))</f>
        <v>1.50266702267966</v>
      </c>
    </row>
    <row r="228" customFormat="false" ht="15" hidden="false" customHeight="false" outlineLevel="0" collapsed="false">
      <c r="A228" s="0" t="n">
        <v>20.63</v>
      </c>
      <c r="B228" s="0" t="n">
        <v>31.406</v>
      </c>
      <c r="C228" s="0" t="n">
        <v>20.216</v>
      </c>
      <c r="D228" s="0" t="n">
        <v>10.238</v>
      </c>
      <c r="E228" s="0" t="n">
        <v>29.908</v>
      </c>
      <c r="F228" s="0" t="n">
        <v>0.0667</v>
      </c>
      <c r="G228" s="12" t="n">
        <f aca="false">(A228+(C228*D228*COS(RADIANS(E228))^2-F228*C228*D228)*TAN(RADIANS(B228)))/(C228*D228*SIN(RADIANS(E228))*COS(RADIANS(E228)))</f>
        <v>1.19782745354493</v>
      </c>
    </row>
    <row r="229" customFormat="false" ht="15" hidden="false" customHeight="false" outlineLevel="0" collapsed="false">
      <c r="A229" s="0" t="n">
        <v>15.362</v>
      </c>
      <c r="B229" s="0" t="n">
        <v>31.049</v>
      </c>
      <c r="C229" s="0" t="n">
        <v>17.665</v>
      </c>
      <c r="D229" s="0" t="n">
        <v>20.501</v>
      </c>
      <c r="E229" s="0" t="n">
        <v>24.329</v>
      </c>
      <c r="F229" s="0" t="n">
        <v>0.0121</v>
      </c>
      <c r="G229" s="12" t="n">
        <f aca="false">(A229+(C229*D229*COS(RADIANS(E229))^2-F229*C229*D229)*TAN(RADIANS(B229)))/(C229*D229*SIN(RADIANS(E229))*COS(RADIANS(E229)))</f>
        <v>1.42513492281563</v>
      </c>
    </row>
    <row r="230" customFormat="false" ht="15" hidden="false" customHeight="false" outlineLevel="0" collapsed="false">
      <c r="A230" s="0" t="n">
        <v>17.576</v>
      </c>
      <c r="B230" s="0" t="n">
        <v>31.488</v>
      </c>
      <c r="C230" s="0" t="n">
        <v>19.078</v>
      </c>
      <c r="D230" s="0" t="n">
        <v>15.912</v>
      </c>
      <c r="E230" s="0" t="n">
        <v>27.89</v>
      </c>
      <c r="F230" s="0" t="n">
        <v>0.1731</v>
      </c>
      <c r="G230" s="12" t="n">
        <f aca="false">(A230+(C230*D230*COS(RADIANS(E230))^2-F230*C230*D230)*TAN(RADIANS(B230)))/(C230*D230*SIN(RADIANS(E230))*COS(RADIANS(E230)))</f>
        <v>1.04091533308841</v>
      </c>
    </row>
    <row r="231" customFormat="false" ht="15" hidden="false" customHeight="false" outlineLevel="0" collapsed="false">
      <c r="A231" s="0" t="n">
        <v>6.799</v>
      </c>
      <c r="B231" s="0" t="n">
        <v>33.076</v>
      </c>
      <c r="C231" s="0" t="n">
        <v>18.914</v>
      </c>
      <c r="D231" s="0" t="n">
        <v>12.813</v>
      </c>
      <c r="E231" s="0" t="n">
        <v>26.688</v>
      </c>
      <c r="F231" s="0" t="n">
        <v>0.1908</v>
      </c>
      <c r="G231" s="12" t="n">
        <f aca="false">(A231+(C231*D231*COS(RADIANS(E231))^2-F231*C231*D231)*TAN(RADIANS(B231)))/(C231*D231*SIN(RADIANS(E231))*COS(RADIANS(E231)))</f>
        <v>1.05587142343685</v>
      </c>
    </row>
    <row r="232" customFormat="false" ht="15" hidden="false" customHeight="false" outlineLevel="0" collapsed="false">
      <c r="A232" s="0" t="n">
        <v>14.805</v>
      </c>
      <c r="B232" s="0" t="n">
        <v>32.136</v>
      </c>
      <c r="C232" s="0" t="n">
        <v>20.156</v>
      </c>
      <c r="D232" s="0" t="n">
        <v>20.604</v>
      </c>
      <c r="E232" s="0" t="n">
        <v>26.592</v>
      </c>
      <c r="F232" s="0" t="n">
        <v>0.1103</v>
      </c>
      <c r="G232" s="12" t="n">
        <f aca="false">(A232+(C232*D232*COS(RADIANS(E232))^2-F232*C232*D232)*TAN(RADIANS(B232)))/(C232*D232*SIN(RADIANS(E232))*COS(RADIANS(E232)))</f>
        <v>1.17083717779725</v>
      </c>
    </row>
    <row r="233" customFormat="false" ht="15" hidden="false" customHeight="false" outlineLevel="0" collapsed="false">
      <c r="A233" s="0" t="n">
        <v>11.627</v>
      </c>
      <c r="B233" s="0" t="n">
        <v>35.229</v>
      </c>
      <c r="C233" s="0" t="n">
        <v>20.909</v>
      </c>
      <c r="D233" s="0" t="n">
        <v>14.285</v>
      </c>
      <c r="E233" s="0" t="n">
        <v>25.703</v>
      </c>
      <c r="F233" s="0" t="n">
        <v>0.063</v>
      </c>
      <c r="G233" s="12" t="n">
        <f aca="false">(A233+(C233*D233*COS(RADIANS(E233))^2-F233*C233*D233)*TAN(RADIANS(B233)))/(C233*D233*SIN(RADIANS(E233))*COS(RADIANS(E233)))</f>
        <v>1.45290564679816</v>
      </c>
    </row>
    <row r="234" customFormat="false" ht="15" hidden="false" customHeight="false" outlineLevel="0" collapsed="false">
      <c r="A234" s="0" t="n">
        <v>10.125</v>
      </c>
      <c r="B234" s="0" t="n">
        <v>35.328</v>
      </c>
      <c r="C234" s="0" t="n">
        <v>19.676</v>
      </c>
      <c r="D234" s="0" t="n">
        <v>16.298</v>
      </c>
      <c r="E234" s="0" t="n">
        <v>27.783</v>
      </c>
      <c r="F234" s="0" t="n">
        <v>0.2066</v>
      </c>
      <c r="G234" s="12" t="n">
        <f aca="false">(A234+(C234*D234*COS(RADIANS(E234))^2-F234*C234*D234)*TAN(RADIANS(B234)))/(C234*D234*SIN(RADIANS(E234))*COS(RADIANS(E234)))</f>
        <v>1.06675476056574</v>
      </c>
    </row>
    <row r="235" customFormat="false" ht="15" hidden="false" customHeight="false" outlineLevel="0" collapsed="false">
      <c r="A235" s="0" t="n">
        <v>11.487</v>
      </c>
      <c r="B235" s="0" t="n">
        <v>34.966</v>
      </c>
      <c r="C235" s="0" t="n">
        <v>20.347</v>
      </c>
      <c r="D235" s="0" t="n">
        <v>18.126</v>
      </c>
      <c r="E235" s="0" t="n">
        <v>26.128</v>
      </c>
      <c r="F235" s="0" t="n">
        <v>0.1121</v>
      </c>
      <c r="G235" s="12" t="n">
        <f aca="false">(A235+(C235*D235*COS(RADIANS(E235))^2-F235*C235*D235)*TAN(RADIANS(B235)))/(C235*D235*SIN(RADIANS(E235))*COS(RADIANS(E235)))</f>
        <v>1.30623172942154</v>
      </c>
    </row>
    <row r="236" customFormat="false" ht="15" hidden="false" customHeight="false" outlineLevel="0" collapsed="false">
      <c r="A236" s="0" t="n">
        <v>13.664</v>
      </c>
      <c r="B236" s="0" t="n">
        <v>33.232</v>
      </c>
      <c r="C236" s="0" t="n">
        <v>19.708</v>
      </c>
      <c r="D236" s="0" t="n">
        <v>14.611</v>
      </c>
      <c r="E236" s="0" t="n">
        <v>26.816</v>
      </c>
      <c r="F236" s="0" t="n">
        <v>0.1412</v>
      </c>
      <c r="G236" s="12" t="n">
        <f aca="false">(A236+(C236*D236*COS(RADIANS(E236))^2-F236*C236*D236)*TAN(RADIANS(B236)))/(C236*D236*SIN(RADIANS(E236))*COS(RADIANS(E236)))</f>
        <v>1.18421849094916</v>
      </c>
    </row>
    <row r="237" customFormat="false" ht="15" hidden="false" customHeight="false" outlineLevel="0" collapsed="false">
      <c r="A237" s="0" t="n">
        <v>18.664</v>
      </c>
      <c r="B237" s="0" t="n">
        <v>32.065</v>
      </c>
      <c r="C237" s="0" t="n">
        <v>21.354</v>
      </c>
      <c r="D237" s="0" t="n">
        <v>9.583</v>
      </c>
      <c r="E237" s="0" t="n">
        <v>30.508</v>
      </c>
      <c r="F237" s="0" t="n">
        <v>0.1845</v>
      </c>
      <c r="G237" s="12" t="n">
        <f aca="false">(A237+(C237*D237*COS(RADIANS(E237))^2-F237*C237*D237)*TAN(RADIANS(B237)))/(C237*D237*SIN(RADIANS(E237))*COS(RADIANS(E237)))</f>
        <v>1.00743153033076</v>
      </c>
    </row>
    <row r="238" customFormat="false" ht="15" hidden="false" customHeight="false" outlineLevel="0" collapsed="false">
      <c r="A238" s="0" t="n">
        <v>9.694</v>
      </c>
      <c r="B238" s="0" t="n">
        <v>30.345</v>
      </c>
      <c r="C238" s="0" t="n">
        <v>20.087</v>
      </c>
      <c r="D238" s="0" t="n">
        <v>15.022</v>
      </c>
      <c r="E238" s="0" t="n">
        <v>29.106</v>
      </c>
      <c r="F238" s="0" t="n">
        <v>0.1556</v>
      </c>
      <c r="G238" s="12" t="n">
        <f aca="false">(A238+(C238*D238*COS(RADIANS(E238))^2-F238*C238*D238)*TAN(RADIANS(B238)))/(C238*D238*SIN(RADIANS(E238))*COS(RADIANS(E238)))</f>
        <v>0.912773359436112</v>
      </c>
    </row>
    <row r="239" customFormat="false" ht="15" hidden="false" customHeight="false" outlineLevel="0" collapsed="false">
      <c r="A239" s="0" t="n">
        <v>15.123</v>
      </c>
      <c r="B239" s="0" t="n">
        <v>33.05</v>
      </c>
      <c r="C239" s="0" t="n">
        <v>18.669</v>
      </c>
      <c r="D239" s="0" t="n">
        <v>22.266</v>
      </c>
      <c r="E239" s="0" t="n">
        <v>30.674</v>
      </c>
      <c r="F239" s="0" t="n">
        <v>0.1357</v>
      </c>
      <c r="G239" s="12" t="n">
        <f aca="false">(A239+(C239*D239*COS(RADIANS(E239))^2-F239*C239*D239)*TAN(RADIANS(B239)))/(C239*D239*SIN(RADIANS(E239))*COS(RADIANS(E239)))</f>
        <v>0.978639806676612</v>
      </c>
    </row>
    <row r="240" customFormat="false" ht="15" hidden="false" customHeight="false" outlineLevel="0" collapsed="false">
      <c r="A240" s="0" t="n">
        <v>13.063</v>
      </c>
      <c r="B240" s="0" t="n">
        <v>36.661</v>
      </c>
      <c r="C240" s="0" t="n">
        <v>19.784</v>
      </c>
      <c r="D240" s="0" t="n">
        <v>17.521</v>
      </c>
      <c r="E240" s="0" t="n">
        <v>28.818</v>
      </c>
      <c r="F240" s="0" t="n">
        <v>0.1278</v>
      </c>
      <c r="G240" s="12" t="n">
        <f aca="false">(A240+(C240*D240*COS(RADIANS(E240))^2-F240*C240*D240)*TAN(RADIANS(B240)))/(C240*D240*SIN(RADIANS(E240))*COS(RADIANS(E240)))</f>
        <v>1.21689989874833</v>
      </c>
    </row>
    <row r="241" customFormat="false" ht="15" hidden="false" customHeight="false" outlineLevel="0" collapsed="false">
      <c r="A241" s="0" t="n">
        <v>13.689</v>
      </c>
      <c r="B241" s="0" t="n">
        <v>29.894</v>
      </c>
      <c r="C241" s="0" t="n">
        <v>19.814</v>
      </c>
      <c r="D241" s="0" t="n">
        <v>14.605</v>
      </c>
      <c r="E241" s="0" t="n">
        <v>27.665</v>
      </c>
      <c r="F241" s="0" t="n">
        <v>0.0937</v>
      </c>
      <c r="G241" s="12" t="n">
        <f aca="false">(A241+(C241*D241*COS(RADIANS(E241))^2-F241*C241*D241)*TAN(RADIANS(B241)))/(C241*D241*SIN(RADIANS(E241))*COS(RADIANS(E241)))</f>
        <v>1.08066457061313</v>
      </c>
    </row>
    <row r="242" customFormat="false" ht="15" hidden="false" customHeight="false" outlineLevel="0" collapsed="false">
      <c r="A242" s="0" t="n">
        <v>19.011</v>
      </c>
      <c r="B242" s="0" t="n">
        <v>34.547</v>
      </c>
      <c r="C242" s="0" t="n">
        <v>19.929</v>
      </c>
      <c r="D242" s="0" t="n">
        <v>17.145</v>
      </c>
      <c r="E242" s="0" t="n">
        <v>29.17</v>
      </c>
      <c r="F242" s="0" t="n">
        <v>0.3056</v>
      </c>
      <c r="G242" s="12" t="n">
        <f aca="false">(A242+(C242*D242*COS(RADIANS(E242))^2-F242*C242*D242)*TAN(RADIANS(B242)))/(C242*D242*SIN(RADIANS(E242))*COS(RADIANS(E242)))</f>
        <v>0.869778376414948</v>
      </c>
    </row>
    <row r="243" customFormat="false" ht="15" hidden="false" customHeight="false" outlineLevel="0" collapsed="false">
      <c r="A243" s="0" t="n">
        <v>17.152</v>
      </c>
      <c r="B243" s="0" t="n">
        <v>31.58</v>
      </c>
      <c r="C243" s="0" t="n">
        <v>19.409</v>
      </c>
      <c r="D243" s="0" t="n">
        <v>12.705</v>
      </c>
      <c r="E243" s="0" t="n">
        <v>30.026</v>
      </c>
      <c r="F243" s="0" t="n">
        <v>0.1077</v>
      </c>
      <c r="G243" s="12" t="n">
        <f aca="false">(A243+(C243*D243*COS(RADIANS(E243))^2-F243*C243*D243)*TAN(RADIANS(B243)))/(C243*D243*SIN(RADIANS(E243))*COS(RADIANS(E243)))</f>
        <v>1.07135065654656</v>
      </c>
    </row>
    <row r="244" customFormat="false" ht="15" hidden="false" customHeight="false" outlineLevel="0" collapsed="false">
      <c r="A244" s="0" t="n">
        <v>20.35</v>
      </c>
      <c r="B244" s="0" t="n">
        <v>30.851</v>
      </c>
      <c r="C244" s="0" t="n">
        <v>20.745</v>
      </c>
      <c r="D244" s="0" t="n">
        <v>12.744</v>
      </c>
      <c r="E244" s="0" t="n">
        <v>29.571</v>
      </c>
      <c r="F244" s="0" t="n">
        <v>0.0584</v>
      </c>
      <c r="G244" s="12" t="n">
        <f aca="false">(A244+(C244*D244*COS(RADIANS(E244))^2-F244*C244*D244)*TAN(RADIANS(B244)))/(C244*D244*SIN(RADIANS(E244))*COS(RADIANS(E244)))</f>
        <v>1.15078768444281</v>
      </c>
    </row>
    <row r="245" customFormat="false" ht="15" hidden="false" customHeight="false" outlineLevel="0" collapsed="false">
      <c r="A245" s="0" t="n">
        <v>14.382</v>
      </c>
      <c r="B245" s="0" t="n">
        <v>37.655</v>
      </c>
      <c r="C245" s="0" t="n">
        <v>21.391</v>
      </c>
      <c r="D245" s="0" t="n">
        <v>22.264</v>
      </c>
      <c r="E245" s="0" t="n">
        <v>27.569</v>
      </c>
      <c r="F245" s="0" t="n">
        <v>0.0717</v>
      </c>
      <c r="G245" s="12" t="n">
        <f aca="false">(A245+(C245*D245*COS(RADIANS(E245))^2-F245*C245*D245)*TAN(RADIANS(B245)))/(C245*D245*SIN(RADIANS(E245))*COS(RADIANS(E245)))</f>
        <v>1.41669948009918</v>
      </c>
    </row>
    <row r="246" customFormat="false" ht="15" hidden="false" customHeight="false" outlineLevel="0" collapsed="false">
      <c r="A246" s="0" t="n">
        <v>12.216</v>
      </c>
      <c r="B246" s="0" t="n">
        <v>38.456</v>
      </c>
      <c r="C246" s="0" t="n">
        <v>19.548</v>
      </c>
      <c r="D246" s="0" t="n">
        <v>14.727</v>
      </c>
      <c r="E246" s="0" t="n">
        <v>29.22</v>
      </c>
      <c r="F246" s="0" t="n">
        <v>0.1257</v>
      </c>
      <c r="G246" s="12" t="n">
        <f aca="false">(A246+(C246*D246*COS(RADIANS(E246))^2-F246*C246*D246)*TAN(RADIANS(B246)))/(C246*D246*SIN(RADIANS(E246))*COS(RADIANS(E246)))</f>
        <v>1.28514357716921</v>
      </c>
    </row>
    <row r="247" customFormat="false" ht="15" hidden="false" customHeight="false" outlineLevel="0" collapsed="false">
      <c r="A247" s="0" t="n">
        <v>14.105</v>
      </c>
      <c r="B247" s="0" t="n">
        <v>36.261</v>
      </c>
      <c r="C247" s="0" t="n">
        <v>19.308</v>
      </c>
      <c r="D247" s="0" t="n">
        <v>15.144</v>
      </c>
      <c r="E247" s="0" t="n">
        <v>26.98</v>
      </c>
      <c r="F247" s="0" t="n">
        <v>0.094</v>
      </c>
      <c r="G247" s="12" t="n">
        <f aca="false">(A247+(C247*D247*COS(RADIANS(E247))^2-F247*C247*D247)*TAN(RADIANS(B247)))/(C247*D247*SIN(RADIANS(E247))*COS(RADIANS(E247)))</f>
        <v>1.38963744207414</v>
      </c>
    </row>
    <row r="248" customFormat="false" ht="15" hidden="false" customHeight="false" outlineLevel="0" collapsed="false">
      <c r="A248" s="0" t="n">
        <v>15.97</v>
      </c>
      <c r="B248" s="0" t="n">
        <v>31.197</v>
      </c>
      <c r="C248" s="0" t="n">
        <v>19.884</v>
      </c>
      <c r="D248" s="0" t="n">
        <v>14.385</v>
      </c>
      <c r="E248" s="0" t="n">
        <v>25.951</v>
      </c>
      <c r="F248" s="0" t="n">
        <v>0.2371</v>
      </c>
      <c r="G248" s="12" t="n">
        <f aca="false">(A248+(C248*D248*COS(RADIANS(E248))^2-F248*C248*D248)*TAN(RADIANS(B248)))/(C248*D248*SIN(RADIANS(E248))*COS(RADIANS(E248)))</f>
        <v>1.02126815627868</v>
      </c>
    </row>
    <row r="249" customFormat="false" ht="15" hidden="false" customHeight="false" outlineLevel="0" collapsed="false">
      <c r="A249" s="0" t="n">
        <v>15.706</v>
      </c>
      <c r="B249" s="0" t="n">
        <v>37.275</v>
      </c>
      <c r="C249" s="0" t="n">
        <v>20.744</v>
      </c>
      <c r="D249" s="0" t="n">
        <v>17.713</v>
      </c>
      <c r="E249" s="0" t="n">
        <v>26.972</v>
      </c>
      <c r="F249" s="0" t="n">
        <v>0.0883</v>
      </c>
      <c r="G249" s="12" t="n">
        <f aca="false">(A249+(C249*D249*COS(RADIANS(E249))^2-F249*C249*D249)*TAN(RADIANS(B249)))/(C249*D249*SIN(RADIANS(E249))*COS(RADIANS(E249)))</f>
        <v>1.43504778419656</v>
      </c>
    </row>
    <row r="250" customFormat="false" ht="15" hidden="false" customHeight="false" outlineLevel="0" collapsed="false">
      <c r="A250" s="0" t="n">
        <v>10.662</v>
      </c>
      <c r="B250" s="0" t="n">
        <v>36.998</v>
      </c>
      <c r="C250" s="0" t="n">
        <v>18.967</v>
      </c>
      <c r="D250" s="0" t="n">
        <v>12.203</v>
      </c>
      <c r="E250" s="0" t="n">
        <v>28.399</v>
      </c>
      <c r="F250" s="0" t="n">
        <v>0.1144</v>
      </c>
      <c r="G250" s="12" t="n">
        <f aca="false">(A250+(C250*D250*COS(RADIANS(E250))^2-F250*C250*D250)*TAN(RADIANS(B250)))/(C250*D250*SIN(RADIANS(E250))*COS(RADIANS(E250)))</f>
        <v>1.29769457159572</v>
      </c>
    </row>
    <row r="251" customFormat="false" ht="15" hidden="false" customHeight="false" outlineLevel="0" collapsed="false">
      <c r="A251" s="0" t="n">
        <v>15.362</v>
      </c>
      <c r="B251" s="0" t="n">
        <v>40.768</v>
      </c>
      <c r="C251" s="0" t="n">
        <v>21.319</v>
      </c>
      <c r="D251" s="0" t="n">
        <v>22.194</v>
      </c>
      <c r="E251" s="0" t="n">
        <v>28.772</v>
      </c>
      <c r="F251" s="0" t="n">
        <v>0.2968</v>
      </c>
      <c r="G251" s="12" t="n">
        <f aca="false">(A251+(C251*D251*COS(RADIANS(E251))^2-F251*C251*D251)*TAN(RADIANS(B251)))/(C251*D251*SIN(RADIANS(E251))*COS(RADIANS(E251)))</f>
        <v>1.04056918092372</v>
      </c>
    </row>
    <row r="252" customFormat="false" ht="15" hidden="false" customHeight="false" outlineLevel="0" collapsed="false">
      <c r="A252" s="0" t="n">
        <v>15.913</v>
      </c>
      <c r="B252" s="0" t="n">
        <v>33.175</v>
      </c>
      <c r="C252" s="0" t="n">
        <v>19.555</v>
      </c>
      <c r="D252" s="0" t="n">
        <v>13.311</v>
      </c>
      <c r="E252" s="0" t="n">
        <v>30.377</v>
      </c>
      <c r="F252" s="0" t="n">
        <v>0.1141</v>
      </c>
      <c r="G252" s="12" t="n">
        <f aca="false">(A252+(C252*D252*COS(RADIANS(E252))^2-F252*C252*D252)*TAN(RADIANS(B252)))/(C252*D252*SIN(RADIANS(E252))*COS(RADIANS(E252)))</f>
        <v>1.08447797654379</v>
      </c>
    </row>
    <row r="253" customFormat="false" ht="15" hidden="false" customHeight="false" outlineLevel="0" collapsed="false">
      <c r="A253" s="0" t="n">
        <v>25.07</v>
      </c>
      <c r="B253" s="0" t="n">
        <v>35.906</v>
      </c>
      <c r="C253" s="0" t="n">
        <v>19.492</v>
      </c>
      <c r="D253" s="0" t="n">
        <v>20.198</v>
      </c>
      <c r="E253" s="0" t="n">
        <v>27.413</v>
      </c>
      <c r="F253" s="0" t="n">
        <v>0.1189</v>
      </c>
      <c r="G253" s="12" t="n">
        <f aca="false">(A253+(C253*D253*COS(RADIANS(E253))^2-F253*C253*D253)*TAN(RADIANS(B253)))/(C253*D253*SIN(RADIANS(E253))*COS(RADIANS(E253)))</f>
        <v>1.34120478915332</v>
      </c>
    </row>
    <row r="254" customFormat="false" ht="15" hidden="false" customHeight="false" outlineLevel="0" collapsed="false">
      <c r="A254" s="0" t="n">
        <v>22.507</v>
      </c>
      <c r="B254" s="0" t="n">
        <v>32.109</v>
      </c>
      <c r="C254" s="0" t="n">
        <v>20.47</v>
      </c>
      <c r="D254" s="0" t="n">
        <v>18.883</v>
      </c>
      <c r="E254" s="0" t="n">
        <v>29.962</v>
      </c>
      <c r="F254" s="0" t="n">
        <v>0.0918</v>
      </c>
      <c r="G254" s="12" t="n">
        <f aca="false">(A254+(C254*D254*COS(RADIANS(E254))^2-F254*C254*D254)*TAN(RADIANS(B254)))/(C254*D254*SIN(RADIANS(E254))*COS(RADIANS(E254)))</f>
        <v>1.08999554269345</v>
      </c>
    </row>
    <row r="255" customFormat="false" ht="15" hidden="false" customHeight="false" outlineLevel="0" collapsed="false">
      <c r="A255" s="0" t="n">
        <v>11.587</v>
      </c>
      <c r="B255" s="0" t="n">
        <v>29.082</v>
      </c>
      <c r="C255" s="0" t="n">
        <v>17.893</v>
      </c>
      <c r="D255" s="0" t="n">
        <v>18.694</v>
      </c>
      <c r="E255" s="0" t="n">
        <v>25.023</v>
      </c>
      <c r="F255" s="0" t="n">
        <v>0.1005</v>
      </c>
      <c r="G255" s="12" t="n">
        <f aca="false">(A255+(C255*D255*COS(RADIANS(E255))^2-F255*C255*D255)*TAN(RADIANS(B255)))/(C255*D255*SIN(RADIANS(E255))*COS(RADIANS(E255)))</f>
        <v>1.13602885522419</v>
      </c>
    </row>
    <row r="256" customFormat="false" ht="15" hidden="false" customHeight="false" outlineLevel="0" collapsed="false">
      <c r="A256" s="0" t="n">
        <v>13.85</v>
      </c>
      <c r="B256" s="0" t="n">
        <v>29.286</v>
      </c>
      <c r="C256" s="0" t="n">
        <v>20.996</v>
      </c>
      <c r="D256" s="0" t="n">
        <v>18.399</v>
      </c>
      <c r="E256" s="0" t="n">
        <v>28.49</v>
      </c>
      <c r="F256" s="0" t="n">
        <v>0.1279</v>
      </c>
      <c r="G256" s="12" t="n">
        <f aca="false">(A256+(C256*D256*COS(RADIANS(E256))^2-F256*C256*D256)*TAN(RADIANS(B256)))/(C256*D256*SIN(RADIANS(E256))*COS(RADIANS(E256)))</f>
        <v>0.947807234663425</v>
      </c>
    </row>
    <row r="257" customFormat="false" ht="15" hidden="false" customHeight="false" outlineLevel="0" collapsed="false">
      <c r="A257" s="0" t="n">
        <v>9.146</v>
      </c>
      <c r="B257" s="0" t="n">
        <v>34.961</v>
      </c>
      <c r="C257" s="0" t="n">
        <v>22.467</v>
      </c>
      <c r="D257" s="0" t="n">
        <v>16.881</v>
      </c>
      <c r="E257" s="0" t="n">
        <v>28.162</v>
      </c>
      <c r="F257" s="0" t="n">
        <v>0.0852</v>
      </c>
      <c r="G257" s="12" t="n">
        <f aca="false">(A257+(C257*D257*COS(RADIANS(E257))^2-F257*C257*D257)*TAN(RADIANS(B257)))/(C257*D257*SIN(RADIANS(E257))*COS(RADIANS(E257)))</f>
        <v>1.22085749733758</v>
      </c>
    </row>
    <row r="258" customFormat="false" ht="15" hidden="false" customHeight="false" outlineLevel="0" collapsed="false">
      <c r="A258" s="0" t="n">
        <v>12.637</v>
      </c>
      <c r="B258" s="0" t="n">
        <v>32.565</v>
      </c>
      <c r="C258" s="0" t="n">
        <v>21.795</v>
      </c>
      <c r="D258" s="0" t="n">
        <v>15.449</v>
      </c>
      <c r="E258" s="0" t="n">
        <v>29.213</v>
      </c>
      <c r="F258" s="0" t="n">
        <v>0.1873</v>
      </c>
      <c r="G258" s="12" t="n">
        <f aca="false">(A258+(C258*D258*COS(RADIANS(E258))^2-F258*C258*D258)*TAN(RADIANS(B258)))/(C258*D258*SIN(RADIANS(E258))*COS(RADIANS(E258)))</f>
        <v>0.949439174846529</v>
      </c>
    </row>
    <row r="259" customFormat="false" ht="15" hidden="false" customHeight="false" outlineLevel="0" collapsed="false">
      <c r="A259" s="0" t="n">
        <v>16.262</v>
      </c>
      <c r="B259" s="0" t="n">
        <v>36.354</v>
      </c>
      <c r="C259" s="0" t="n">
        <v>20.796</v>
      </c>
      <c r="D259" s="0" t="n">
        <v>17.701</v>
      </c>
      <c r="E259" s="0" t="n">
        <v>28.235</v>
      </c>
      <c r="F259" s="0" t="n">
        <v>0.1569</v>
      </c>
      <c r="G259" s="12" t="n">
        <f aca="false">(A259+(C259*D259*COS(RADIANS(E259))^2-F259*C259*D259)*TAN(RADIANS(B259)))/(C259*D259*SIN(RADIANS(E259))*COS(RADIANS(E259)))</f>
        <v>1.1995910960227</v>
      </c>
    </row>
    <row r="260" customFormat="false" ht="15" hidden="false" customHeight="false" outlineLevel="0" collapsed="false">
      <c r="A260" s="0" t="n">
        <v>19.823</v>
      </c>
      <c r="B260" s="0" t="n">
        <v>36.733</v>
      </c>
      <c r="C260" s="0" t="n">
        <v>20.935</v>
      </c>
      <c r="D260" s="0" t="n">
        <v>17.945</v>
      </c>
      <c r="E260" s="0" t="n">
        <v>25.478</v>
      </c>
      <c r="F260" s="0" t="n">
        <v>0.0306</v>
      </c>
      <c r="G260" s="12" t="n">
        <f aca="false">(A260+(C260*D260*COS(RADIANS(E260))^2-F260*C260*D260)*TAN(RADIANS(B260)))/(C260*D260*SIN(RADIANS(E260))*COS(RADIANS(E260)))</f>
        <v>1.64321505483778</v>
      </c>
    </row>
    <row r="261" customFormat="false" ht="15" hidden="false" customHeight="false" outlineLevel="0" collapsed="false">
      <c r="A261" s="0" t="n">
        <v>12.084</v>
      </c>
      <c r="B261" s="0" t="n">
        <v>34.851</v>
      </c>
      <c r="C261" s="0" t="n">
        <v>19.936</v>
      </c>
      <c r="D261" s="0" t="n">
        <v>10.31</v>
      </c>
      <c r="E261" s="0" t="n">
        <v>29.703</v>
      </c>
      <c r="F261" s="0" t="n">
        <v>0.1019</v>
      </c>
      <c r="G261" s="12" t="n">
        <f aca="false">(A261+(C261*D261*COS(RADIANS(E261))^2-F261*C261*D261)*TAN(RADIANS(B261)))/(C261*D261*SIN(RADIANS(E261))*COS(RADIANS(E261)))</f>
        <v>1.19239798023841</v>
      </c>
    </row>
    <row r="262" customFormat="false" ht="15" hidden="false" customHeight="false" outlineLevel="0" collapsed="false">
      <c r="A262" s="0" t="n">
        <v>12.383</v>
      </c>
      <c r="B262" s="0" t="n">
        <v>30.152</v>
      </c>
      <c r="C262" s="0" t="n">
        <v>19.981</v>
      </c>
      <c r="D262" s="0" t="n">
        <v>15.614</v>
      </c>
      <c r="E262" s="0" t="n">
        <v>31.301</v>
      </c>
      <c r="F262" s="0" t="n">
        <v>0.1915</v>
      </c>
      <c r="G262" s="12" t="n">
        <f aca="false">(A262+(C262*D262*COS(RADIANS(E262))^2-F262*C262*D262)*TAN(RADIANS(B262)))/(C262*D262*SIN(RADIANS(E262))*COS(RADIANS(E262)))</f>
        <v>0.794184702056162</v>
      </c>
    </row>
    <row r="263" customFormat="false" ht="15" hidden="false" customHeight="false" outlineLevel="0" collapsed="false">
      <c r="A263" s="0" t="n">
        <v>6.411</v>
      </c>
      <c r="B263" s="0" t="n">
        <v>31.848</v>
      </c>
      <c r="C263" s="0" t="n">
        <v>18.9</v>
      </c>
      <c r="D263" s="0" t="n">
        <v>17.565</v>
      </c>
      <c r="E263" s="0" t="n">
        <v>26.445</v>
      </c>
      <c r="F263" s="0" t="n">
        <v>0.093</v>
      </c>
      <c r="G263" s="12" t="n">
        <f aca="false">(A263+(C263*D263*COS(RADIANS(E263))^2-F263*C263*D263)*TAN(RADIANS(B263)))/(C263*D263*SIN(RADIANS(E263))*COS(RADIANS(E263)))</f>
        <v>1.15245744273601</v>
      </c>
    </row>
    <row r="264" customFormat="false" ht="15" hidden="false" customHeight="false" outlineLevel="0" collapsed="false">
      <c r="A264" s="0" t="n">
        <v>14.349</v>
      </c>
      <c r="B264" s="0" t="n">
        <v>35.516</v>
      </c>
      <c r="C264" s="0" t="n">
        <v>19.439</v>
      </c>
      <c r="D264" s="0" t="n">
        <v>9.28</v>
      </c>
      <c r="E264" s="0" t="n">
        <v>27.056</v>
      </c>
      <c r="F264" s="0" t="n">
        <v>0.2637</v>
      </c>
      <c r="G264" s="12" t="n">
        <f aca="false">(A264+(C264*D264*COS(RADIANS(E264))^2-F264*C264*D264)*TAN(RADIANS(B264)))/(C264*D264*SIN(RADIANS(E264))*COS(RADIANS(E264)))</f>
        <v>1.12911399651287</v>
      </c>
    </row>
    <row r="265" customFormat="false" ht="15" hidden="false" customHeight="false" outlineLevel="0" collapsed="false">
      <c r="A265" s="0" t="n">
        <v>10.75</v>
      </c>
      <c r="B265" s="0" t="n">
        <v>35.818</v>
      </c>
      <c r="C265" s="0" t="n">
        <v>19.138</v>
      </c>
      <c r="D265" s="0" t="n">
        <v>10.332</v>
      </c>
      <c r="E265" s="0" t="n">
        <v>26.747</v>
      </c>
      <c r="F265" s="0" t="n">
        <v>0.1819</v>
      </c>
      <c r="G265" s="12" t="n">
        <f aca="false">(A265+(C265*D265*COS(RADIANS(E265))^2-F265*C265*D265)*TAN(RADIANS(B265)))/(C265*D265*SIN(RADIANS(E265))*COS(RADIANS(E265)))</f>
        <v>1.24064343966288</v>
      </c>
    </row>
    <row r="266" customFormat="false" ht="15" hidden="false" customHeight="false" outlineLevel="0" collapsed="false">
      <c r="A266" s="0" t="n">
        <v>12.882</v>
      </c>
      <c r="B266" s="0" t="n">
        <v>35.86</v>
      </c>
      <c r="C266" s="0" t="n">
        <v>20.642</v>
      </c>
      <c r="D266" s="0" t="n">
        <v>16.819</v>
      </c>
      <c r="E266" s="0" t="n">
        <v>27.034</v>
      </c>
      <c r="F266" s="0" t="n">
        <v>0.1298</v>
      </c>
      <c r="G266" s="12" t="n">
        <f aca="false">(A266+(C266*D266*COS(RADIANS(E266))^2-F266*C266*D266)*TAN(RADIANS(B266)))/(C266*D266*SIN(RADIANS(E266))*COS(RADIANS(E266)))</f>
        <v>1.27643690710233</v>
      </c>
    </row>
    <row r="267" customFormat="false" ht="15" hidden="false" customHeight="false" outlineLevel="0" collapsed="false">
      <c r="A267" s="0" t="n">
        <v>11.493</v>
      </c>
      <c r="B267" s="0" t="n">
        <v>37.41</v>
      </c>
      <c r="C267" s="0" t="n">
        <v>19.817</v>
      </c>
      <c r="D267" s="0" t="n">
        <v>18.21</v>
      </c>
      <c r="E267" s="0" t="n">
        <v>25.634</v>
      </c>
      <c r="F267" s="0" t="n">
        <v>0.0663</v>
      </c>
      <c r="G267" s="12" t="n">
        <f aca="false">(A267+(C267*D267*COS(RADIANS(E267))^2-F267*C267*D267)*TAN(RADIANS(B267)))/(C267*D267*SIN(RADIANS(E267))*COS(RADIANS(E267)))</f>
        <v>1.54554975756708</v>
      </c>
    </row>
    <row r="268" customFormat="false" ht="15" hidden="false" customHeight="false" outlineLevel="0" collapsed="false">
      <c r="A268" s="0" t="n">
        <v>14.623</v>
      </c>
      <c r="B268" s="0" t="n">
        <v>34.088</v>
      </c>
      <c r="C268" s="0" t="n">
        <v>19.69</v>
      </c>
      <c r="D268" s="0" t="n">
        <v>14.192</v>
      </c>
      <c r="E268" s="0" t="n">
        <v>27.528</v>
      </c>
      <c r="F268" s="0" t="n">
        <v>0.0803</v>
      </c>
      <c r="G268" s="12" t="n">
        <f aca="false">(A268+(C268*D268*COS(RADIANS(E268))^2-F268*C268*D268)*TAN(RADIANS(B268)))/(C268*D268*SIN(RADIANS(E268))*COS(RADIANS(E268)))</f>
        <v>1.29355461489374</v>
      </c>
    </row>
    <row r="269" customFormat="false" ht="15" hidden="false" customHeight="false" outlineLevel="0" collapsed="false">
      <c r="A269" s="0" t="n">
        <v>7.969</v>
      </c>
      <c r="B269" s="0" t="n">
        <v>35.44</v>
      </c>
      <c r="C269" s="0" t="n">
        <v>20.168</v>
      </c>
      <c r="D269" s="0" t="n">
        <v>11.77</v>
      </c>
      <c r="E269" s="0" t="n">
        <v>25.756</v>
      </c>
      <c r="F269" s="0" t="n">
        <v>0.1303</v>
      </c>
      <c r="G269" s="12" t="n">
        <f aca="false">(A269+(C269*D269*COS(RADIANS(E269))^2-F269*C269*D269)*TAN(RADIANS(B269)))/(C269*D269*SIN(RADIANS(E269))*COS(RADIANS(E269)))</f>
        <v>1.32396630587593</v>
      </c>
    </row>
    <row r="270" customFormat="false" ht="15" hidden="false" customHeight="false" outlineLevel="0" collapsed="false">
      <c r="A270" s="0" t="n">
        <v>9.132</v>
      </c>
      <c r="B270" s="0" t="n">
        <v>36.485</v>
      </c>
      <c r="C270" s="0" t="n">
        <v>20.325</v>
      </c>
      <c r="D270" s="0" t="n">
        <v>13.666</v>
      </c>
      <c r="E270" s="0" t="n">
        <v>36.923</v>
      </c>
      <c r="F270" s="0" t="n">
        <v>0.2809</v>
      </c>
      <c r="G270" s="12" t="n">
        <f aca="false">(A270+(C270*D270*COS(RADIANS(E270))^2-F270*C270*D270)*TAN(RADIANS(B270)))/(C270*D270*SIN(RADIANS(E270))*COS(RADIANS(E270)))</f>
        <v>0.620068969029111</v>
      </c>
    </row>
    <row r="271" customFormat="false" ht="15" hidden="false" customHeight="false" outlineLevel="0" collapsed="false">
      <c r="A271" s="0" t="n">
        <v>23.517</v>
      </c>
      <c r="B271" s="0" t="n">
        <v>37.715</v>
      </c>
      <c r="C271" s="0" t="n">
        <v>20.974</v>
      </c>
      <c r="D271" s="0" t="n">
        <v>11.488</v>
      </c>
      <c r="E271" s="0" t="n">
        <v>28.238</v>
      </c>
      <c r="F271" s="0" t="n">
        <v>0.0912</v>
      </c>
      <c r="G271" s="12" t="n">
        <f aca="false">(A271+(C271*D271*COS(RADIANS(E271))^2-F271*C271*D271)*TAN(RADIANS(B271)))/(C271*D271*SIN(RADIANS(E271))*COS(RADIANS(E271)))</f>
        <v>1.5048730432575</v>
      </c>
    </row>
    <row r="272" customFormat="false" ht="15" hidden="false" customHeight="false" outlineLevel="0" collapsed="false">
      <c r="A272" s="0" t="n">
        <v>9.85</v>
      </c>
      <c r="B272" s="0" t="n">
        <v>34.771</v>
      </c>
      <c r="C272" s="0" t="n">
        <v>18.659</v>
      </c>
      <c r="D272" s="0" t="n">
        <v>14.143</v>
      </c>
      <c r="E272" s="0" t="n">
        <v>29.169</v>
      </c>
      <c r="F272" s="0" t="n">
        <v>0.2015</v>
      </c>
      <c r="G272" s="12" t="n">
        <f aca="false">(A272+(C272*D272*COS(RADIANS(E272))^2-F272*C272*D272)*TAN(RADIANS(B272)))/(C272*D272*SIN(RADIANS(E272))*COS(RADIANS(E272)))</f>
        <v>1.00281462519437</v>
      </c>
    </row>
    <row r="273" customFormat="false" ht="15" hidden="false" customHeight="false" outlineLevel="0" collapsed="false">
      <c r="A273" s="0" t="n">
        <v>10.613</v>
      </c>
      <c r="B273" s="0" t="n">
        <v>34.667</v>
      </c>
      <c r="C273" s="0" t="n">
        <v>20.139</v>
      </c>
      <c r="D273" s="0" t="n">
        <v>11.624</v>
      </c>
      <c r="E273" s="0" t="n">
        <v>25.297</v>
      </c>
      <c r="F273" s="0" t="n">
        <v>0</v>
      </c>
      <c r="G273" s="12" t="n">
        <f aca="false">(A273+(C273*D273*COS(RADIANS(E273))^2-F273*C273*D273)*TAN(RADIANS(B273)))/(C273*D273*SIN(RADIANS(E273))*COS(RADIANS(E273)))</f>
        <v>1.58059910021877</v>
      </c>
    </row>
    <row r="274" customFormat="false" ht="15" hidden="false" customHeight="false" outlineLevel="0" collapsed="false">
      <c r="A274" s="0" t="n">
        <v>22.348</v>
      </c>
      <c r="B274" s="0" t="n">
        <v>35.735</v>
      </c>
      <c r="C274" s="0" t="n">
        <v>21.083</v>
      </c>
      <c r="D274" s="0" t="n">
        <v>13.096</v>
      </c>
      <c r="E274" s="0" t="n">
        <v>27.819</v>
      </c>
      <c r="F274" s="0" t="n">
        <v>0.2919</v>
      </c>
      <c r="G274" s="12" t="n">
        <f aca="false">(A274+(C274*D274*COS(RADIANS(E274))^2-F274*C274*D274)*TAN(RADIANS(B274)))/(C274*D274*SIN(RADIANS(E274))*COS(RADIANS(E274)))</f>
        <v>1.05081726795197</v>
      </c>
    </row>
    <row r="275" customFormat="false" ht="15" hidden="false" customHeight="false" outlineLevel="0" collapsed="false">
      <c r="A275" s="0" t="n">
        <v>26.62</v>
      </c>
      <c r="B275" s="0" t="n">
        <v>34.952</v>
      </c>
      <c r="C275" s="0" t="n">
        <v>20.944</v>
      </c>
      <c r="D275" s="0" t="n">
        <v>12.065</v>
      </c>
      <c r="E275" s="0" t="n">
        <v>27.395</v>
      </c>
      <c r="F275" s="0" t="n">
        <v>0.2604</v>
      </c>
      <c r="G275" s="12" t="n">
        <f aca="false">(A275+(C275*D275*COS(RADIANS(E275))^2-F275*C275*D275)*TAN(RADIANS(B275)))/(C275*D275*SIN(RADIANS(E275))*COS(RADIANS(E275)))</f>
        <v>1.16106029704876</v>
      </c>
    </row>
    <row r="276" customFormat="false" ht="15" hidden="false" customHeight="false" outlineLevel="0" collapsed="false">
      <c r="A276" s="0" t="n">
        <v>10.314</v>
      </c>
      <c r="B276" s="0" t="n">
        <v>33.994</v>
      </c>
      <c r="C276" s="0" t="n">
        <v>22.094</v>
      </c>
      <c r="D276" s="0" t="n">
        <v>17.678</v>
      </c>
      <c r="E276" s="0" t="n">
        <v>30.671</v>
      </c>
      <c r="F276" s="0" t="n">
        <v>0.3022</v>
      </c>
      <c r="G276" s="12" t="n">
        <f aca="false">(A276+(C276*D276*COS(RADIANS(E276))^2-F276*C276*D276)*TAN(RADIANS(B276)))/(C276*D276*SIN(RADIANS(E276))*COS(RADIANS(E276)))</f>
        <v>0.73276223540583</v>
      </c>
    </row>
    <row r="277" customFormat="false" ht="15" hidden="false" customHeight="false" outlineLevel="0" collapsed="false">
      <c r="A277" s="0" t="n">
        <v>13.527</v>
      </c>
      <c r="B277" s="0" t="n">
        <v>32.908</v>
      </c>
      <c r="C277" s="0" t="n">
        <v>19.866</v>
      </c>
      <c r="D277" s="0" t="n">
        <v>18.667</v>
      </c>
      <c r="E277" s="0" t="n">
        <v>26.02</v>
      </c>
      <c r="F277" s="0" t="n">
        <v>0.0114</v>
      </c>
      <c r="G277" s="12" t="n">
        <f aca="false">(A277+(C277*D277*COS(RADIANS(E277))^2-F277*C277*D277)*TAN(RADIANS(B277)))/(C277*D277*SIN(RADIANS(E277))*COS(RADIANS(E277)))</f>
        <v>1.39944796539564</v>
      </c>
    </row>
    <row r="278" customFormat="false" ht="15" hidden="false" customHeight="false" outlineLevel="0" collapsed="false">
      <c r="A278" s="0" t="n">
        <v>16.366</v>
      </c>
      <c r="B278" s="0" t="n">
        <v>29.658</v>
      </c>
      <c r="C278" s="0" t="n">
        <v>20.853</v>
      </c>
      <c r="D278" s="0" t="n">
        <v>13.64</v>
      </c>
      <c r="E278" s="0" t="n">
        <v>29.262</v>
      </c>
      <c r="F278" s="0" t="n">
        <v>0.2232</v>
      </c>
      <c r="G278" s="12" t="n">
        <f aca="false">(A278+(C278*D278*COS(RADIANS(E278))^2-F278*C278*D278)*TAN(RADIANS(B278)))/(C278*D278*SIN(RADIANS(E278))*COS(RADIANS(E278)))</f>
        <v>0.853159427314378</v>
      </c>
    </row>
    <row r="279" customFormat="false" ht="15" hidden="false" customHeight="false" outlineLevel="0" collapsed="false">
      <c r="A279" s="0" t="n">
        <v>21.915</v>
      </c>
      <c r="B279" s="0" t="n">
        <v>36.416</v>
      </c>
      <c r="C279" s="0" t="n">
        <v>17.936</v>
      </c>
      <c r="D279" s="0" t="n">
        <v>10.56</v>
      </c>
      <c r="E279" s="0" t="n">
        <v>28.41</v>
      </c>
      <c r="F279" s="0" t="n">
        <v>0.092</v>
      </c>
      <c r="G279" s="12" t="n">
        <f aca="false">(A279+(C279*D279*COS(RADIANS(E279))^2-F279*C279*D279)*TAN(RADIANS(B279)))/(C279*D279*SIN(RADIANS(E279))*COS(RADIANS(E279)))</f>
        <v>1.47808091741918</v>
      </c>
    </row>
    <row r="280" customFormat="false" ht="15" hidden="false" customHeight="false" outlineLevel="0" collapsed="false">
      <c r="A280" s="0" t="n">
        <v>11.053</v>
      </c>
      <c r="B280" s="0" t="n">
        <v>36.205</v>
      </c>
      <c r="C280" s="0" t="n">
        <v>19.96</v>
      </c>
      <c r="D280" s="0" t="n">
        <v>9.571</v>
      </c>
      <c r="E280" s="0" t="n">
        <v>24.953</v>
      </c>
      <c r="F280" s="0" t="n">
        <v>0.264</v>
      </c>
      <c r="G280" s="12" t="n">
        <f aca="false">(A280+(C280*D280*COS(RADIANS(E280))^2-F280*C280*D280)*TAN(RADIANS(B280)))/(C280*D280*SIN(RADIANS(E280))*COS(RADIANS(E280)))</f>
        <v>1.21921471463138</v>
      </c>
    </row>
    <row r="281" customFormat="false" ht="15" hidden="false" customHeight="false" outlineLevel="0" collapsed="false">
      <c r="A281" s="0" t="n">
        <v>14.019</v>
      </c>
      <c r="B281" s="0" t="n">
        <v>35.604</v>
      </c>
      <c r="C281" s="0" t="n">
        <v>19.749</v>
      </c>
      <c r="D281" s="0" t="n">
        <v>13.999</v>
      </c>
      <c r="E281" s="0" t="n">
        <v>25.731</v>
      </c>
      <c r="F281" s="0" t="n">
        <v>0.1155</v>
      </c>
      <c r="G281" s="12" t="n">
        <f aca="false">(A281+(C281*D281*COS(RADIANS(E281))^2-F281*C281*D281)*TAN(RADIANS(B281)))/(C281*D281*SIN(RADIANS(E281))*COS(RADIANS(E281)))</f>
        <v>1.40394735884754</v>
      </c>
    </row>
    <row r="282" customFormat="false" ht="15" hidden="false" customHeight="false" outlineLevel="0" collapsed="false">
      <c r="A282" s="0" t="n">
        <v>18.109</v>
      </c>
      <c r="B282" s="0" t="n">
        <v>36.043</v>
      </c>
      <c r="C282" s="0" t="n">
        <v>21.156</v>
      </c>
      <c r="D282" s="0" t="n">
        <v>16.484</v>
      </c>
      <c r="E282" s="0" t="n">
        <v>28.843</v>
      </c>
      <c r="F282" s="0" t="n">
        <v>0.147</v>
      </c>
      <c r="G282" s="12" t="n">
        <f aca="false">(A282+(C282*D282*COS(RADIANS(E282))^2-F282*C282*D282)*TAN(RADIANS(B282)))/(C282*D282*SIN(RADIANS(E282))*COS(RADIANS(E282)))</f>
        <v>1.19105436340993</v>
      </c>
    </row>
    <row r="283" customFormat="false" ht="15" hidden="false" customHeight="false" outlineLevel="0" collapsed="false">
      <c r="A283" s="0" t="n">
        <v>16.739</v>
      </c>
      <c r="B283" s="0" t="n">
        <v>34.315</v>
      </c>
      <c r="C283" s="0" t="n">
        <v>20.702</v>
      </c>
      <c r="D283" s="0" t="n">
        <v>16.974</v>
      </c>
      <c r="E283" s="0" t="n">
        <v>27.619</v>
      </c>
      <c r="F283" s="0" t="n">
        <v>0.0333</v>
      </c>
      <c r="G283" s="12" t="n">
        <f aca="false">(A283+(C283*D283*COS(RADIANS(E283))^2-F283*C283*D283)*TAN(RADIANS(B283)))/(C283*D283*SIN(RADIANS(E283))*COS(RADIANS(E283)))</f>
        <v>1.36515633516008</v>
      </c>
    </row>
    <row r="284" customFormat="false" ht="15" hidden="false" customHeight="false" outlineLevel="0" collapsed="false">
      <c r="A284" s="0" t="n">
        <v>13.495</v>
      </c>
      <c r="B284" s="0" t="n">
        <v>40.426</v>
      </c>
      <c r="C284" s="0" t="n">
        <v>19.327</v>
      </c>
      <c r="D284" s="0" t="n">
        <v>10.357</v>
      </c>
      <c r="E284" s="0" t="n">
        <v>25.92</v>
      </c>
      <c r="F284" s="0" t="n">
        <v>0.1297</v>
      </c>
      <c r="G284" s="12" t="n">
        <f aca="false">(A284+(C284*D284*COS(RADIANS(E284))^2-F284*C284*D284)*TAN(RADIANS(B284)))/(C284*D284*SIN(RADIANS(E284))*COS(RADIANS(E284)))</f>
        <v>1.64321211961345</v>
      </c>
    </row>
    <row r="285" customFormat="false" ht="15" hidden="false" customHeight="false" outlineLevel="0" collapsed="false">
      <c r="A285" s="0" t="n">
        <v>14.465</v>
      </c>
      <c r="B285" s="0" t="n">
        <v>37.471</v>
      </c>
      <c r="C285" s="0" t="n">
        <v>19.603</v>
      </c>
      <c r="D285" s="0" t="n">
        <v>15.019</v>
      </c>
      <c r="E285" s="0" t="n">
        <v>28.049</v>
      </c>
      <c r="F285" s="0" t="n">
        <v>0.0782</v>
      </c>
      <c r="G285" s="12" t="n">
        <f aca="false">(A285+(C285*D285*COS(RADIANS(E285))^2-F285*C285*D285)*TAN(RADIANS(B285)))/(C285*D285*SIN(RADIANS(E285))*COS(RADIANS(E285)))</f>
        <v>1.41259957541567</v>
      </c>
    </row>
    <row r="286" customFormat="false" ht="15" hidden="false" customHeight="false" outlineLevel="0" collapsed="false">
      <c r="A286" s="0" t="n">
        <v>9.5</v>
      </c>
      <c r="B286" s="0" t="n">
        <v>40.645</v>
      </c>
      <c r="C286" s="0" t="n">
        <v>19.118</v>
      </c>
      <c r="D286" s="0" t="n">
        <v>15.216</v>
      </c>
      <c r="E286" s="0" t="n">
        <v>28.956</v>
      </c>
      <c r="F286" s="0" t="n">
        <v>0.1913</v>
      </c>
      <c r="G286" s="12" t="n">
        <f aca="false">(A286+(C286*D286*COS(RADIANS(E286))^2-F286*C286*D286)*TAN(RADIANS(B286)))/(C286*D286*SIN(RADIANS(E286))*COS(RADIANS(E286)))</f>
        <v>1.24094281535261</v>
      </c>
    </row>
    <row r="287" customFormat="false" ht="15" hidden="false" customHeight="false" outlineLevel="0" collapsed="false">
      <c r="A287" s="0" t="n">
        <v>14.047</v>
      </c>
      <c r="B287" s="0" t="n">
        <v>32.836</v>
      </c>
      <c r="C287" s="0" t="n">
        <v>20.89</v>
      </c>
      <c r="D287" s="0" t="n">
        <v>23.696</v>
      </c>
      <c r="E287" s="0" t="n">
        <v>23.368</v>
      </c>
      <c r="F287" s="0" t="n">
        <v>0.2813</v>
      </c>
      <c r="G287" s="12" t="n">
        <f aca="false">(A287+(C287*D287*COS(RADIANS(E287))^2-F287*C287*D287)*TAN(RADIANS(B287)))/(C287*D287*SIN(RADIANS(E287))*COS(RADIANS(E287)))</f>
        <v>1.07294642860249</v>
      </c>
    </row>
    <row r="288" customFormat="false" ht="15" hidden="false" customHeight="false" outlineLevel="0" collapsed="false">
      <c r="A288" s="0" t="n">
        <v>13.934</v>
      </c>
      <c r="B288" s="0" t="n">
        <v>34.649</v>
      </c>
      <c r="C288" s="0" t="n">
        <v>20.612</v>
      </c>
      <c r="D288" s="0" t="n">
        <v>13.726</v>
      </c>
      <c r="E288" s="0" t="n">
        <v>29.916</v>
      </c>
      <c r="F288" s="0" t="n">
        <v>0</v>
      </c>
      <c r="G288" s="12" t="n">
        <f aca="false">(A288+(C288*D288*COS(RADIANS(E288))^2-F288*C288*D288)*TAN(RADIANS(B288)))/(C288*D288*SIN(RADIANS(E288))*COS(RADIANS(E288)))</f>
        <v>1.31504534495477</v>
      </c>
    </row>
    <row r="289" customFormat="false" ht="15" hidden="false" customHeight="false" outlineLevel="0" collapsed="false">
      <c r="A289" s="0" t="n">
        <v>15.929</v>
      </c>
      <c r="B289" s="0" t="n">
        <v>34.649</v>
      </c>
      <c r="C289" s="0" t="n">
        <v>17.91</v>
      </c>
      <c r="D289" s="0" t="n">
        <v>17.086</v>
      </c>
      <c r="E289" s="0" t="n">
        <v>26.696</v>
      </c>
      <c r="F289" s="0" t="n">
        <v>0.0948</v>
      </c>
      <c r="G289" s="12" t="n">
        <f aca="false">(A289+(C289*D289*COS(RADIANS(E289))^2-F289*C289*D289)*TAN(RADIANS(B289)))/(C289*D289*SIN(RADIANS(E289))*COS(RADIANS(E289)))</f>
        <v>1.34082621971799</v>
      </c>
    </row>
    <row r="290" customFormat="false" ht="15" hidden="false" customHeight="false" outlineLevel="0" collapsed="false">
      <c r="A290" s="0" t="n">
        <v>12.779</v>
      </c>
      <c r="B290" s="0" t="n">
        <v>39.173</v>
      </c>
      <c r="C290" s="0" t="n">
        <v>18.701</v>
      </c>
      <c r="D290" s="0" t="n">
        <v>8.973</v>
      </c>
      <c r="E290" s="0" t="n">
        <v>28.79</v>
      </c>
      <c r="F290" s="0" t="n">
        <v>0.1226</v>
      </c>
      <c r="G290" s="12" t="n">
        <f aca="false">(A290+(C290*D290*COS(RADIANS(E290))^2-F290*C290*D290)*TAN(RADIANS(B290)))/(C290*D290*SIN(RADIANS(E290))*COS(RADIANS(E290)))</f>
        <v>1.42647508090776</v>
      </c>
    </row>
    <row r="291" customFormat="false" ht="15" hidden="false" customHeight="false" outlineLevel="0" collapsed="false">
      <c r="A291" s="0" t="n">
        <v>16.886</v>
      </c>
      <c r="B291" s="0" t="n">
        <v>28.623</v>
      </c>
      <c r="C291" s="0" t="n">
        <v>19.811</v>
      </c>
      <c r="D291" s="0" t="n">
        <v>12.327</v>
      </c>
      <c r="E291" s="0" t="n">
        <v>28.494</v>
      </c>
      <c r="F291" s="0" t="n">
        <v>0.0599</v>
      </c>
      <c r="G291" s="12" t="n">
        <f aca="false">(A291+(C291*D291*COS(RADIANS(E291))^2-F291*C291*D291)*TAN(RADIANS(B291)))/(C291*D291*SIN(RADIANS(E291))*COS(RADIANS(E291)))</f>
        <v>1.09232495625066</v>
      </c>
    </row>
    <row r="292" customFormat="false" ht="15" hidden="false" customHeight="false" outlineLevel="0" collapsed="false">
      <c r="A292" s="0" t="n">
        <v>19.051</v>
      </c>
      <c r="B292" s="0" t="n">
        <v>36.671</v>
      </c>
      <c r="C292" s="0" t="n">
        <v>20.904</v>
      </c>
      <c r="D292" s="0" t="n">
        <v>14.689</v>
      </c>
      <c r="E292" s="0" t="n">
        <v>30.878</v>
      </c>
      <c r="F292" s="0" t="n">
        <v>0.1702</v>
      </c>
      <c r="G292" s="12" t="n">
        <f aca="false">(A292+(C292*D292*COS(RADIANS(E292))^2-F292*C292*D292)*TAN(RADIANS(B292)))/(C292*D292*SIN(RADIANS(E292))*COS(RADIANS(E292)))</f>
        <v>1.09834786301991</v>
      </c>
    </row>
    <row r="293" customFormat="false" ht="15" hidden="false" customHeight="false" outlineLevel="0" collapsed="false">
      <c r="A293" s="0" t="n">
        <v>15.622</v>
      </c>
      <c r="B293" s="0" t="n">
        <v>35.478</v>
      </c>
      <c r="C293" s="0" t="n">
        <v>18.338</v>
      </c>
      <c r="D293" s="0" t="n">
        <v>17.603</v>
      </c>
      <c r="E293" s="0" t="n">
        <v>27.201</v>
      </c>
      <c r="F293" s="0" t="n">
        <v>0.2823</v>
      </c>
      <c r="G293" s="12" t="n">
        <f aca="false">(A293+(C293*D293*COS(RADIANS(E293))^2-F293*C293*D293)*TAN(RADIANS(B293)))/(C293*D293*SIN(RADIANS(E293))*COS(RADIANS(E293)))</f>
        <v>1.01088507948117</v>
      </c>
    </row>
    <row r="294" customFormat="false" ht="15" hidden="false" customHeight="false" outlineLevel="0" collapsed="false">
      <c r="A294" s="0" t="n">
        <v>16.407</v>
      </c>
      <c r="B294" s="0" t="n">
        <v>38.135</v>
      </c>
      <c r="C294" s="0" t="n">
        <v>20.404</v>
      </c>
      <c r="D294" s="0" t="n">
        <v>18.079</v>
      </c>
      <c r="E294" s="0" t="n">
        <v>23.659</v>
      </c>
      <c r="F294" s="0" t="n">
        <v>0.227</v>
      </c>
      <c r="G294" s="12" t="n">
        <f aca="false">(A294+(C294*D294*COS(RADIANS(E294))^2-F294*C294*D294)*TAN(RADIANS(B294)))/(C294*D294*SIN(RADIANS(E294))*COS(RADIANS(E294)))</f>
        <v>1.42811320728966</v>
      </c>
    </row>
    <row r="295" customFormat="false" ht="15" hidden="false" customHeight="false" outlineLevel="0" collapsed="false">
      <c r="A295" s="0" t="n">
        <v>15.213</v>
      </c>
      <c r="B295" s="0" t="n">
        <v>33.322</v>
      </c>
      <c r="C295" s="0" t="n">
        <v>19.264</v>
      </c>
      <c r="D295" s="0" t="n">
        <v>12.798</v>
      </c>
      <c r="E295" s="0" t="n">
        <v>25.26</v>
      </c>
      <c r="F295" s="0" t="n">
        <v>0</v>
      </c>
      <c r="G295" s="12" t="n">
        <f aca="false">(A295+(C295*D295*COS(RADIANS(E295))^2-F295*C295*D295)*TAN(RADIANS(B295)))/(C295*D295*SIN(RADIANS(E295))*COS(RADIANS(E295)))</f>
        <v>1.55320584238492</v>
      </c>
    </row>
    <row r="296" customFormat="false" ht="15" hidden="false" customHeight="false" outlineLevel="0" collapsed="false">
      <c r="A296" s="0" t="n">
        <v>15</v>
      </c>
      <c r="B296" s="0" t="n">
        <v>29.79</v>
      </c>
      <c r="C296" s="0" t="n">
        <v>19.961</v>
      </c>
      <c r="D296" s="0" t="n">
        <v>21.159</v>
      </c>
      <c r="E296" s="0" t="n">
        <v>24.766</v>
      </c>
      <c r="F296" s="0" t="n">
        <v>0.2346</v>
      </c>
      <c r="G296" s="12" t="n">
        <f aca="false">(A296+(C296*D296*COS(RADIANS(E296))^2-F296*C296*D296)*TAN(RADIANS(B296)))/(C296*D296*SIN(RADIANS(E296))*COS(RADIANS(E296)))</f>
        <v>0.981176247564557</v>
      </c>
    </row>
    <row r="297" customFormat="false" ht="15" hidden="false" customHeight="false" outlineLevel="0" collapsed="false">
      <c r="A297" s="0" t="n">
        <v>12.114</v>
      </c>
      <c r="B297" s="0" t="n">
        <v>40.68</v>
      </c>
      <c r="C297" s="0" t="n">
        <v>20.176</v>
      </c>
      <c r="D297" s="0" t="n">
        <v>13.493</v>
      </c>
      <c r="E297" s="0" t="n">
        <v>26.376</v>
      </c>
      <c r="F297" s="0" t="n">
        <v>0.0019</v>
      </c>
      <c r="G297" s="12" t="n">
        <f aca="false">(A297+(C297*D297*COS(RADIANS(E297))^2-F297*C297*D297)*TAN(RADIANS(B297)))/(C297*D297*SIN(RADIANS(E297))*COS(RADIANS(E297)))</f>
        <v>1.84103023789517</v>
      </c>
    </row>
    <row r="298" customFormat="false" ht="15" hidden="false" customHeight="false" outlineLevel="0" collapsed="false">
      <c r="A298" s="0" t="n">
        <v>16.266</v>
      </c>
      <c r="B298" s="0" t="n">
        <v>34.966</v>
      </c>
      <c r="C298" s="0" t="n">
        <v>20.073</v>
      </c>
      <c r="D298" s="0" t="n">
        <v>19.808</v>
      </c>
      <c r="E298" s="0" t="n">
        <v>29.578</v>
      </c>
      <c r="F298" s="0" t="n">
        <v>0.2824</v>
      </c>
      <c r="G298" s="12" t="n">
        <f aca="false">(A298+(C298*D298*COS(RADIANS(E298))^2-F298*C298*D298)*TAN(RADIANS(B298)))/(C298*D298*SIN(RADIANS(E298))*COS(RADIANS(E298)))</f>
        <v>0.867387901778466</v>
      </c>
    </row>
    <row r="299" customFormat="false" ht="15" hidden="false" customHeight="false" outlineLevel="0" collapsed="false">
      <c r="A299" s="0" t="n">
        <v>14.611</v>
      </c>
      <c r="B299" s="0" t="n">
        <v>37.867</v>
      </c>
      <c r="C299" s="0" t="n">
        <v>17.731</v>
      </c>
      <c r="D299" s="0" t="n">
        <v>12.483</v>
      </c>
      <c r="E299" s="0" t="n">
        <v>25.932</v>
      </c>
      <c r="F299" s="0" t="n">
        <v>0.168</v>
      </c>
      <c r="G299" s="12" t="n">
        <f aca="false">(A299+(C299*D299*COS(RADIANS(E299))^2-F299*C299*D299)*TAN(RADIANS(B299)))/(C299*D299*SIN(RADIANS(E299))*COS(RADIANS(E299)))</f>
        <v>1.4347322871107</v>
      </c>
    </row>
    <row r="300" customFormat="false" ht="15" hidden="false" customHeight="false" outlineLevel="0" collapsed="false">
      <c r="A300" s="0" t="n">
        <v>23.373</v>
      </c>
      <c r="B300" s="0" t="n">
        <v>34.078</v>
      </c>
      <c r="C300" s="0" t="n">
        <v>23.081</v>
      </c>
      <c r="D300" s="0" t="n">
        <v>18.264</v>
      </c>
      <c r="E300" s="0" t="n">
        <v>28.057</v>
      </c>
      <c r="F300" s="0" t="n">
        <v>0.2279</v>
      </c>
      <c r="G300" s="12" t="n">
        <f aca="false">(A300+(C300*D300*COS(RADIANS(E300))^2-F300*C300*D300)*TAN(RADIANS(B300)))/(C300*D300*SIN(RADIANS(E300))*COS(RADIANS(E300)))</f>
        <v>1.03139276482795</v>
      </c>
    </row>
    <row r="301" customFormat="false" ht="15" hidden="false" customHeight="false" outlineLevel="0" collapsed="false">
      <c r="A301" s="0" t="n">
        <v>21.293</v>
      </c>
      <c r="B301" s="0" t="n">
        <v>38.416</v>
      </c>
      <c r="C301" s="0" t="n">
        <v>21.24</v>
      </c>
      <c r="D301" s="0" t="n">
        <v>13.065</v>
      </c>
      <c r="E301" s="0" t="n">
        <v>30.033</v>
      </c>
      <c r="F301" s="0" t="n">
        <v>0.2004</v>
      </c>
      <c r="G301" s="12" t="n">
        <f aca="false">(A301+(C301*D301*COS(RADIANS(E301))^2-F301*C301*D301)*TAN(RADIANS(B301)))/(C301*D301*SIN(RADIANS(E301))*COS(RADIANS(E301)))</f>
        <v>1.18207417735758</v>
      </c>
    </row>
    <row r="302" customFormat="false" ht="15" hidden="false" customHeight="false" outlineLevel="0" collapsed="false">
      <c r="A302" s="0" t="n">
        <v>16.543</v>
      </c>
      <c r="B302" s="0" t="n">
        <v>37.324</v>
      </c>
      <c r="C302" s="0" t="n">
        <v>20.174</v>
      </c>
      <c r="D302" s="0" t="n">
        <v>12.625</v>
      </c>
      <c r="E302" s="0" t="n">
        <v>25.291</v>
      </c>
      <c r="F302" s="0" t="n">
        <v>0.2455</v>
      </c>
      <c r="G302" s="12" t="n">
        <f aca="false">(A302+(C302*D302*COS(RADIANS(E302))^2-F302*C302*D302)*TAN(RADIANS(B302)))/(C302*D302*SIN(RADIANS(E302))*COS(RADIANS(E302)))</f>
        <v>1.29720494651152</v>
      </c>
    </row>
    <row r="303" customFormat="false" ht="15" hidden="false" customHeight="false" outlineLevel="0" collapsed="false">
      <c r="A303" s="0" t="n">
        <v>11.948</v>
      </c>
      <c r="B303" s="0" t="n">
        <v>38.669</v>
      </c>
      <c r="C303" s="0" t="n">
        <v>19.372</v>
      </c>
      <c r="D303" s="0" t="n">
        <v>20.53</v>
      </c>
      <c r="E303" s="0" t="n">
        <v>30.17</v>
      </c>
      <c r="F303" s="0" t="n">
        <v>0.0836</v>
      </c>
      <c r="G303" s="12" t="n">
        <f aca="false">(A303+(C303*D303*COS(RADIANS(E303))^2-F303*C303*D303)*TAN(RADIANS(B303)))/(C303*D303*SIN(RADIANS(E303))*COS(RADIANS(E303)))</f>
        <v>1.29181233282413</v>
      </c>
    </row>
    <row r="304" customFormat="false" ht="15" hidden="false" customHeight="false" outlineLevel="0" collapsed="false">
      <c r="A304" s="0" t="n">
        <v>10.55</v>
      </c>
      <c r="B304" s="0" t="n">
        <v>34.017</v>
      </c>
      <c r="C304" s="0" t="n">
        <v>20.179</v>
      </c>
      <c r="D304" s="0" t="n">
        <v>16.316</v>
      </c>
      <c r="E304" s="0" t="n">
        <v>28.025</v>
      </c>
      <c r="F304" s="0" t="n">
        <v>0.2148</v>
      </c>
      <c r="G304" s="12" t="n">
        <f aca="false">(A304+(C304*D304*COS(RADIANS(E304))^2-F304*C304*D304)*TAN(RADIANS(B304)))/(C304*D304*SIN(RADIANS(E304))*COS(RADIANS(E304)))</f>
        <v>0.995757768631716</v>
      </c>
    </row>
    <row r="305" customFormat="false" ht="15" hidden="false" customHeight="false" outlineLevel="0" collapsed="false">
      <c r="A305" s="0" t="n">
        <v>19.765</v>
      </c>
      <c r="B305" s="0" t="n">
        <v>39.065</v>
      </c>
      <c r="C305" s="0" t="n">
        <v>19.301</v>
      </c>
      <c r="D305" s="0" t="n">
        <v>14.011</v>
      </c>
      <c r="E305" s="0" t="n">
        <v>25.581</v>
      </c>
      <c r="F305" s="0" t="n">
        <v>0.1534</v>
      </c>
      <c r="G305" s="12" t="n">
        <f aca="false">(A305+(C305*D305*COS(RADIANS(E305))^2-F305*C305*D305)*TAN(RADIANS(B305)))/(C305*D305*SIN(RADIANS(E305))*COS(RADIANS(E305)))</f>
        <v>1.56348533898676</v>
      </c>
    </row>
    <row r="306" customFormat="false" ht="15" hidden="false" customHeight="false" outlineLevel="0" collapsed="false">
      <c r="A306" s="0" t="n">
        <v>16.051</v>
      </c>
      <c r="B306" s="0" t="n">
        <v>36.591</v>
      </c>
      <c r="C306" s="0" t="n">
        <v>19.912</v>
      </c>
      <c r="D306" s="0" t="n">
        <v>18.603</v>
      </c>
      <c r="E306" s="0" t="n">
        <v>26.883</v>
      </c>
      <c r="F306" s="0" t="n">
        <v>0.2614</v>
      </c>
      <c r="G306" s="12" t="n">
        <f aca="false">(A306+(C306*D306*COS(RADIANS(E306))^2-F306*C306*D306)*TAN(RADIANS(B306)))/(C306*D306*SIN(RADIANS(E306))*COS(RADIANS(E306)))</f>
        <v>1.09071438598629</v>
      </c>
    </row>
    <row r="307" customFormat="false" ht="15" hidden="false" customHeight="false" outlineLevel="0" collapsed="false">
      <c r="A307" s="0" t="n">
        <v>16.921</v>
      </c>
      <c r="B307" s="0" t="n">
        <v>29.565</v>
      </c>
      <c r="C307" s="0" t="n">
        <v>21.135</v>
      </c>
      <c r="D307" s="0" t="n">
        <v>13.339</v>
      </c>
      <c r="E307" s="0" t="n">
        <v>24.387</v>
      </c>
      <c r="F307" s="0" t="n">
        <v>0.3153</v>
      </c>
      <c r="G307" s="12" t="n">
        <f aca="false">(A307+(C307*D307*COS(RADIANS(E307))^2-F307*C307*D307)*TAN(RADIANS(B307)))/(C307*D307*SIN(RADIANS(E307))*COS(RADIANS(E307)))</f>
        <v>0.935282128218332</v>
      </c>
    </row>
    <row r="308" customFormat="false" ht="15" hidden="false" customHeight="false" outlineLevel="0" collapsed="false">
      <c r="A308" s="0" t="n">
        <v>8.022</v>
      </c>
      <c r="B308" s="0" t="n">
        <v>39.1</v>
      </c>
      <c r="C308" s="0" t="n">
        <v>19.457</v>
      </c>
      <c r="D308" s="0" t="n">
        <v>13.875</v>
      </c>
      <c r="E308" s="0" t="n">
        <v>25.386</v>
      </c>
      <c r="F308" s="0" t="n">
        <v>0.0515</v>
      </c>
      <c r="G308" s="12" t="n">
        <f aca="false">(A308+(C308*D308*COS(RADIANS(E308))^2-F308*C308*D308)*TAN(RADIANS(B308)))/(C308*D308*SIN(RADIANS(E308))*COS(RADIANS(E308)))</f>
        <v>1.68123691804346</v>
      </c>
    </row>
    <row r="309" customFormat="false" ht="15" hidden="false" customHeight="false" outlineLevel="0" collapsed="false">
      <c r="A309" s="0" t="n">
        <v>18.71</v>
      </c>
      <c r="B309" s="0" t="n">
        <v>36.745</v>
      </c>
      <c r="C309" s="0" t="n">
        <v>20.394</v>
      </c>
      <c r="D309" s="0" t="n">
        <v>15.686</v>
      </c>
      <c r="E309" s="0" t="n">
        <v>29.798</v>
      </c>
      <c r="F309" s="0" t="n">
        <v>0.1659</v>
      </c>
      <c r="G309" s="12" t="n">
        <f aca="false">(A309+(C309*D309*COS(RADIANS(E309))^2-F309*C309*D309)*TAN(RADIANS(B309)))/(C309*D309*SIN(RADIANS(E309))*COS(RADIANS(E309)))</f>
        <v>1.15214632176161</v>
      </c>
    </row>
    <row r="310" customFormat="false" ht="15" hidden="false" customHeight="false" outlineLevel="0" collapsed="false">
      <c r="A310" s="0" t="n">
        <v>16.818</v>
      </c>
      <c r="B310" s="0" t="n">
        <v>34.119</v>
      </c>
      <c r="C310" s="0" t="n">
        <v>21.039</v>
      </c>
      <c r="D310" s="0" t="n">
        <v>14.136</v>
      </c>
      <c r="E310" s="0" t="n">
        <v>29.132</v>
      </c>
      <c r="F310" s="0" t="n">
        <v>0.1169</v>
      </c>
      <c r="G310" s="12" t="n">
        <f aca="false">(A310+(C310*D310*COS(RADIANS(E310))^2-F310*C310*D310)*TAN(RADIANS(B310)))/(C310*D310*SIN(RADIANS(E310))*COS(RADIANS(E310)))</f>
        <v>1.16241525052731</v>
      </c>
    </row>
    <row r="311" customFormat="false" ht="15" hidden="false" customHeight="false" outlineLevel="0" collapsed="false">
      <c r="A311" s="0" t="n">
        <v>10.558</v>
      </c>
      <c r="B311" s="0" t="n">
        <v>34.618</v>
      </c>
      <c r="C311" s="0" t="n">
        <v>20.877</v>
      </c>
      <c r="D311" s="0" t="n">
        <v>20.292</v>
      </c>
      <c r="E311" s="0" t="n">
        <v>27.757</v>
      </c>
      <c r="F311" s="0" t="n">
        <v>0.205</v>
      </c>
      <c r="G311" s="12" t="n">
        <f aca="false">(A311+(C311*D311*COS(RADIANS(E311))^2-F311*C311*D311)*TAN(RADIANS(B311)))/(C311*D311*SIN(RADIANS(E311))*COS(RADIANS(E311)))</f>
        <v>1.02878761860827</v>
      </c>
    </row>
    <row r="312" customFormat="false" ht="15" hidden="false" customHeight="false" outlineLevel="0" collapsed="false">
      <c r="A312" s="0" t="n">
        <v>13.114</v>
      </c>
      <c r="B312" s="0" t="n">
        <v>31.993</v>
      </c>
      <c r="C312" s="0" t="n">
        <v>20.145</v>
      </c>
      <c r="D312" s="0" t="n">
        <v>17.85</v>
      </c>
      <c r="E312" s="0" t="n">
        <v>30.364</v>
      </c>
      <c r="F312" s="0" t="n">
        <v>0.0283</v>
      </c>
      <c r="G312" s="12" t="n">
        <f aca="false">(A312+(C312*D312*COS(RADIANS(E312))^2-F312*C312*D312)*TAN(RADIANS(B312)))/(C312*D312*SIN(RADIANS(E312))*COS(RADIANS(E312)))</f>
        <v>1.10939119590244</v>
      </c>
    </row>
    <row r="313" customFormat="false" ht="15" hidden="false" customHeight="false" outlineLevel="0" collapsed="false">
      <c r="A313" s="0" t="n">
        <v>16.055</v>
      </c>
      <c r="B313" s="0" t="n">
        <v>35.458</v>
      </c>
      <c r="C313" s="0" t="n">
        <v>19.41</v>
      </c>
      <c r="D313" s="0" t="n">
        <v>15.809</v>
      </c>
      <c r="E313" s="0" t="n">
        <v>28.29</v>
      </c>
      <c r="F313" s="0" t="n">
        <v>0.0577</v>
      </c>
      <c r="G313" s="12" t="n">
        <f aca="false">(A313+(C313*D313*COS(RADIANS(E313))^2-F313*C313*D313)*TAN(RADIANS(B313)))/(C313*D313*SIN(RADIANS(E313))*COS(RADIANS(E313)))</f>
        <v>1.3501344289848</v>
      </c>
    </row>
    <row r="314" customFormat="false" ht="15" hidden="false" customHeight="false" outlineLevel="0" collapsed="false">
      <c r="A314" s="0" t="n">
        <v>15.21</v>
      </c>
      <c r="B314" s="0" t="n">
        <v>36.675</v>
      </c>
      <c r="C314" s="0" t="n">
        <v>21.682</v>
      </c>
      <c r="D314" s="0" t="n">
        <v>16.816</v>
      </c>
      <c r="E314" s="0" t="n">
        <v>25.07</v>
      </c>
      <c r="F314" s="0" t="n">
        <v>0.1354</v>
      </c>
      <c r="G314" s="12" t="n">
        <f aca="false">(A314+(C314*D314*COS(RADIANS(E314))^2-F314*C314*D314)*TAN(RADIANS(B314)))/(C314*D314*SIN(RADIANS(E314))*COS(RADIANS(E314)))</f>
        <v>1.43790547813189</v>
      </c>
    </row>
    <row r="315" customFormat="false" ht="15" hidden="false" customHeight="false" outlineLevel="0" collapsed="false">
      <c r="A315" s="0" t="n">
        <v>13.831</v>
      </c>
      <c r="B315" s="0" t="n">
        <v>35.356</v>
      </c>
      <c r="C315" s="0" t="n">
        <v>21.485</v>
      </c>
      <c r="D315" s="0" t="n">
        <v>13.621</v>
      </c>
      <c r="E315" s="0" t="n">
        <v>26.854</v>
      </c>
      <c r="F315" s="0" t="n">
        <v>0.1873</v>
      </c>
      <c r="G315" s="12" t="n">
        <f aca="false">(A315+(C315*D315*COS(RADIANS(E315))^2-F315*C315*D315)*TAN(RADIANS(B315)))/(C315*D315*SIN(RADIANS(E315))*COS(RADIANS(E315)))</f>
        <v>1.18882722059237</v>
      </c>
    </row>
    <row r="316" customFormat="false" ht="15" hidden="false" customHeight="false" outlineLevel="0" collapsed="false">
      <c r="A316" s="0" t="n">
        <v>14.586</v>
      </c>
      <c r="B316" s="0" t="n">
        <v>35.706</v>
      </c>
      <c r="C316" s="0" t="n">
        <v>19.461</v>
      </c>
      <c r="D316" s="0" t="n">
        <v>7.66</v>
      </c>
      <c r="E316" s="0" t="n">
        <v>29.015</v>
      </c>
      <c r="F316" s="0" t="n">
        <v>0</v>
      </c>
      <c r="G316" s="12" t="n">
        <f aca="false">(A316+(C316*D316*COS(RADIANS(E316))^2-F316*C316*D316)*TAN(RADIANS(B316)))/(C316*D316*SIN(RADIANS(E316))*COS(RADIANS(E316)))</f>
        <v>1.52650604617613</v>
      </c>
    </row>
    <row r="317" customFormat="false" ht="15" hidden="false" customHeight="false" outlineLevel="0" collapsed="false">
      <c r="A317" s="0" t="n">
        <v>13.992</v>
      </c>
      <c r="B317" s="0" t="n">
        <v>33.374</v>
      </c>
      <c r="C317" s="0" t="n">
        <v>20.519</v>
      </c>
      <c r="D317" s="0" t="n">
        <v>16.341</v>
      </c>
      <c r="E317" s="0" t="n">
        <v>28.815</v>
      </c>
      <c r="F317" s="0" t="n">
        <v>0.2028</v>
      </c>
      <c r="G317" s="12" t="n">
        <f aca="false">(A317+(C317*D317*COS(RADIANS(E317))^2-F317*C317*D317)*TAN(RADIANS(B317)))/(C317*D317*SIN(RADIANS(E317))*COS(RADIANS(E317)))</f>
        <v>0.979956771147826</v>
      </c>
    </row>
    <row r="318" customFormat="false" ht="15" hidden="false" customHeight="false" outlineLevel="0" collapsed="false">
      <c r="A318" s="0" t="n">
        <v>15.61</v>
      </c>
      <c r="B318" s="0" t="n">
        <v>32.25</v>
      </c>
      <c r="C318" s="0" t="n">
        <v>19.139</v>
      </c>
      <c r="D318" s="0" t="n">
        <v>10.464</v>
      </c>
      <c r="E318" s="0" t="n">
        <v>27.938</v>
      </c>
      <c r="F318" s="0" t="n">
        <v>0.1013</v>
      </c>
      <c r="G318" s="12" t="n">
        <f aca="false">(A318+(C318*D318*COS(RADIANS(E318))^2-F318*C318*D318)*TAN(RADIANS(B318)))/(C318*D318*SIN(RADIANS(E318))*COS(RADIANS(E318)))</f>
        <v>1.22364782321013</v>
      </c>
    </row>
    <row r="319" customFormat="false" ht="15" hidden="false" customHeight="false" outlineLevel="0" collapsed="false">
      <c r="A319" s="0" t="n">
        <v>20.886</v>
      </c>
      <c r="B319" s="0" t="n">
        <v>35.112</v>
      </c>
      <c r="C319" s="0" t="n">
        <v>19.491</v>
      </c>
      <c r="D319" s="0" t="n">
        <v>16.087</v>
      </c>
      <c r="E319" s="0" t="n">
        <v>29.84</v>
      </c>
      <c r="F319" s="0" t="n">
        <v>0.1017</v>
      </c>
      <c r="G319" s="12" t="n">
        <f aca="false">(A319+(C319*D319*COS(RADIANS(E319))^2-F319*C319*D319)*TAN(RADIANS(B319)))/(C319*D319*SIN(RADIANS(E319))*COS(RADIANS(E319)))</f>
        <v>1.21439454326117</v>
      </c>
    </row>
    <row r="320" customFormat="false" ht="15" hidden="false" customHeight="false" outlineLevel="0" collapsed="false">
      <c r="A320" s="0" t="n">
        <v>4.733</v>
      </c>
      <c r="B320" s="0" t="n">
        <v>35.789</v>
      </c>
      <c r="C320" s="0" t="n">
        <v>21.712</v>
      </c>
      <c r="D320" s="0" t="n">
        <v>18.335</v>
      </c>
      <c r="E320" s="0" t="n">
        <v>31.212</v>
      </c>
      <c r="F320" s="0" t="n">
        <v>0.0528</v>
      </c>
      <c r="G320" s="12" t="n">
        <f aca="false">(A320+(C320*D320*COS(RADIANS(E320))^2-F320*C320*D320)*TAN(RADIANS(B320)))/(C320*D320*SIN(RADIANS(E320))*COS(RADIANS(E320)))</f>
        <v>1.13077476257999</v>
      </c>
    </row>
    <row r="321" customFormat="false" ht="15" hidden="false" customHeight="false" outlineLevel="0" collapsed="false">
      <c r="A321" s="0" t="n">
        <v>14.053</v>
      </c>
      <c r="B321" s="0" t="n">
        <v>33.779</v>
      </c>
      <c r="C321" s="0" t="n">
        <v>19.451</v>
      </c>
      <c r="D321" s="0" t="n">
        <v>12.883</v>
      </c>
      <c r="E321" s="0" t="n">
        <v>30.412</v>
      </c>
      <c r="F321" s="0" t="n">
        <v>0.0795</v>
      </c>
      <c r="G321" s="12" t="n">
        <f aca="false">(A321+(C321*D321*COS(RADIANS(E321))^2-F321*C321*D321)*TAN(RADIANS(B321)))/(C321*D321*SIN(RADIANS(E321))*COS(RADIANS(E321)))</f>
        <v>1.14623132559913</v>
      </c>
    </row>
    <row r="322" customFormat="false" ht="15" hidden="false" customHeight="false" outlineLevel="0" collapsed="false">
      <c r="A322" s="0" t="n">
        <v>15.706</v>
      </c>
      <c r="B322" s="0" t="n">
        <v>36.431</v>
      </c>
      <c r="C322" s="0" t="n">
        <v>19.836</v>
      </c>
      <c r="D322" s="0" t="n">
        <v>20.324</v>
      </c>
      <c r="E322" s="0" t="n">
        <v>28.438</v>
      </c>
      <c r="F322" s="0" t="n">
        <v>0.1588</v>
      </c>
      <c r="G322" s="12" t="n">
        <f aca="false">(A322+(C322*D322*COS(RADIANS(E322))^2-F322*C322*D322)*TAN(RADIANS(B322)))/(C322*D322*SIN(RADIANS(E322))*COS(RADIANS(E322)))</f>
        <v>1.17605255382578</v>
      </c>
    </row>
    <row r="323" customFormat="false" ht="15" hidden="false" customHeight="false" outlineLevel="0" collapsed="false">
      <c r="A323" s="0" t="n">
        <v>16.184</v>
      </c>
      <c r="B323" s="0" t="n">
        <v>37.604</v>
      </c>
      <c r="C323" s="0" t="n">
        <v>20.492</v>
      </c>
      <c r="D323" s="0" t="n">
        <v>11.906</v>
      </c>
      <c r="E323" s="0" t="n">
        <v>29.463</v>
      </c>
      <c r="F323" s="0" t="n">
        <v>0.3145</v>
      </c>
      <c r="G323" s="12" t="n">
        <f aca="false">(A323+(C323*D323*COS(RADIANS(E323))^2-F323*C323*D323)*TAN(RADIANS(B323)))/(C323*D323*SIN(RADIANS(E323))*COS(RADIANS(E323)))</f>
        <v>0.952666177579751</v>
      </c>
    </row>
    <row r="324" customFormat="false" ht="15" hidden="false" customHeight="false" outlineLevel="0" collapsed="false">
      <c r="A324" s="0" t="n">
        <v>13.512</v>
      </c>
      <c r="B324" s="0" t="n">
        <v>37.934</v>
      </c>
      <c r="C324" s="0" t="n">
        <v>20.093</v>
      </c>
      <c r="D324" s="0" t="n">
        <v>19.506</v>
      </c>
      <c r="E324" s="0" t="n">
        <v>30.786</v>
      </c>
      <c r="F324" s="0" t="n">
        <v>0</v>
      </c>
      <c r="G324" s="12" t="n">
        <f aca="false">(A324+(C324*D324*COS(RADIANS(E324))^2-F324*C324*D324)*TAN(RADIANS(B324)))/(C324*D324*SIN(RADIANS(E324))*COS(RADIANS(E324)))</f>
        <v>1.38664116015434</v>
      </c>
    </row>
    <row r="325" customFormat="false" ht="15" hidden="false" customHeight="false" outlineLevel="0" collapsed="false">
      <c r="A325" s="0" t="n">
        <v>7.973</v>
      </c>
      <c r="B325" s="0" t="n">
        <v>33.548</v>
      </c>
      <c r="C325" s="0" t="n">
        <v>20.332</v>
      </c>
      <c r="D325" s="0" t="n">
        <v>11.626</v>
      </c>
      <c r="E325" s="0" t="n">
        <v>28.14</v>
      </c>
      <c r="F325" s="0" t="n">
        <v>0.2652</v>
      </c>
      <c r="G325" s="12" t="n">
        <f aca="false">(A325+(C325*D325*COS(RADIANS(E325))^2-F325*C325*D325)*TAN(RADIANS(B325)))/(C325*D325*SIN(RADIANS(E325))*COS(RADIANS(E325)))</f>
        <v>0.898037050240924</v>
      </c>
    </row>
    <row r="326" customFormat="false" ht="15" hidden="false" customHeight="false" outlineLevel="0" collapsed="false">
      <c r="A326" s="0" t="n">
        <v>16.312</v>
      </c>
      <c r="B326" s="0" t="n">
        <v>30.026</v>
      </c>
      <c r="C326" s="0" t="n">
        <v>20.579</v>
      </c>
      <c r="D326" s="0" t="n">
        <v>11.573</v>
      </c>
      <c r="E326" s="0" t="n">
        <v>31.135</v>
      </c>
      <c r="F326" s="0" t="n">
        <v>0.2214</v>
      </c>
      <c r="G326" s="12" t="n">
        <f aca="false">(A326+(C326*D326*COS(RADIANS(E326))^2-F326*C326*D326)*TAN(RADIANS(B326)))/(C326*D326*SIN(RADIANS(E326))*COS(RADIANS(E326)))</f>
        <v>0.822398124885003</v>
      </c>
    </row>
    <row r="327" customFormat="false" ht="15" hidden="false" customHeight="false" outlineLevel="0" collapsed="false">
      <c r="A327" s="0" t="n">
        <v>21.909</v>
      </c>
      <c r="B327" s="0" t="n">
        <v>36.307</v>
      </c>
      <c r="C327" s="0" t="n">
        <v>17.881</v>
      </c>
      <c r="D327" s="0" t="n">
        <v>14.359</v>
      </c>
      <c r="E327" s="0" t="n">
        <v>30.506</v>
      </c>
      <c r="F327" s="0" t="n">
        <v>0.1988</v>
      </c>
      <c r="G327" s="12" t="n">
        <f aca="false">(A327+(C327*D327*COS(RADIANS(E327))^2-F327*C327*D327)*TAN(RADIANS(B327)))/(C327*D327*SIN(RADIANS(E327))*COS(RADIANS(E327)))</f>
        <v>1.10820069614021</v>
      </c>
    </row>
    <row r="328" customFormat="false" ht="15" hidden="false" customHeight="false" outlineLevel="0" collapsed="false">
      <c r="A328" s="0" t="n">
        <v>8.865</v>
      </c>
      <c r="B328" s="0" t="n">
        <v>34.147</v>
      </c>
      <c r="C328" s="0" t="n">
        <v>20.532</v>
      </c>
      <c r="D328" s="0" t="n">
        <v>16.56</v>
      </c>
      <c r="E328" s="0" t="n">
        <v>29.046</v>
      </c>
      <c r="F328" s="0" t="n">
        <v>0.1505</v>
      </c>
      <c r="G328" s="12" t="n">
        <f aca="false">(A328+(C328*D328*COS(RADIANS(E328))^2-F328*C328*D328)*TAN(RADIANS(B328)))/(C328*D328*SIN(RADIANS(E328))*COS(RADIANS(E328)))</f>
        <v>1.04221415171818</v>
      </c>
    </row>
    <row r="329" customFormat="false" ht="15" hidden="false" customHeight="false" outlineLevel="0" collapsed="false">
      <c r="A329" s="0" t="n">
        <v>18.455</v>
      </c>
      <c r="B329" s="0" t="n">
        <v>35.08</v>
      </c>
      <c r="C329" s="0" t="n">
        <v>20.05</v>
      </c>
      <c r="D329" s="0" t="n">
        <v>18.908</v>
      </c>
      <c r="E329" s="0" t="n">
        <v>31.462</v>
      </c>
      <c r="F329" s="0" t="n">
        <v>0.1946</v>
      </c>
      <c r="G329" s="12" t="n">
        <f aca="false">(A329+(C329*D329*COS(RADIANS(E329))^2-F329*C329*D329)*TAN(RADIANS(B329)))/(C329*D329*SIN(RADIANS(E329))*COS(RADIANS(E329)))</f>
        <v>0.95011154451399</v>
      </c>
    </row>
    <row r="330" customFormat="false" ht="15" hidden="false" customHeight="false" outlineLevel="0" collapsed="false">
      <c r="A330" s="0" t="n">
        <v>13.686</v>
      </c>
      <c r="B330" s="0" t="n">
        <v>33.56</v>
      </c>
      <c r="C330" s="0" t="n">
        <v>17.384</v>
      </c>
      <c r="D330" s="0" t="n">
        <v>16.263</v>
      </c>
      <c r="E330" s="0" t="n">
        <v>28.469</v>
      </c>
      <c r="F330" s="0" t="n">
        <v>0.2144</v>
      </c>
      <c r="G330" s="12" t="n">
        <f aca="false">(A330+(C330*D330*COS(RADIANS(E330))^2-F330*C330*D330)*TAN(RADIANS(B330)))/(C330*D330*SIN(RADIANS(E330))*COS(RADIANS(E330)))</f>
        <v>0.999497011523465</v>
      </c>
    </row>
    <row r="331" customFormat="false" ht="15" hidden="false" customHeight="false" outlineLevel="0" collapsed="false">
      <c r="A331" s="0" t="n">
        <v>14.755</v>
      </c>
      <c r="B331" s="0" t="n">
        <v>39.911</v>
      </c>
      <c r="C331" s="0" t="n">
        <v>19.452</v>
      </c>
      <c r="D331" s="0" t="n">
        <v>18.601</v>
      </c>
      <c r="E331" s="0" t="n">
        <v>30.719</v>
      </c>
      <c r="F331" s="0" t="n">
        <v>0.1481</v>
      </c>
      <c r="G331" s="12" t="n">
        <f aca="false">(A331+(C331*D331*COS(RADIANS(E331))^2-F331*C331*D331)*TAN(RADIANS(B331)))/(C331*D331*SIN(RADIANS(E331))*COS(RADIANS(E331)))</f>
        <v>1.21845994947339</v>
      </c>
    </row>
    <row r="332" customFormat="false" ht="15" hidden="false" customHeight="false" outlineLevel="0" collapsed="false">
      <c r="A332" s="0" t="n">
        <v>10.788</v>
      </c>
      <c r="B332" s="0" t="n">
        <v>33.758</v>
      </c>
      <c r="C332" s="0" t="n">
        <v>20.826</v>
      </c>
      <c r="D332" s="0" t="n">
        <v>10.297</v>
      </c>
      <c r="E332" s="0" t="n">
        <v>27.58</v>
      </c>
      <c r="F332" s="0" t="n">
        <v>0.2196</v>
      </c>
      <c r="G332" s="12" t="n">
        <f aca="false">(A332+(C332*D332*COS(RADIANS(E332))^2-F332*C332*D332)*TAN(RADIANS(B332)))/(C332*D332*SIN(RADIANS(E332))*COS(RADIANS(E332)))</f>
        <v>1.04450474467219</v>
      </c>
    </row>
    <row r="333" customFormat="false" ht="15" hidden="false" customHeight="false" outlineLevel="0" collapsed="false">
      <c r="A333" s="0" t="n">
        <v>13.662</v>
      </c>
      <c r="B333" s="0" t="n">
        <v>40.625</v>
      </c>
      <c r="C333" s="0" t="n">
        <v>20.655</v>
      </c>
      <c r="D333" s="0" t="n">
        <v>14.089</v>
      </c>
      <c r="E333" s="0" t="n">
        <v>23.087</v>
      </c>
      <c r="F333" s="0" t="n">
        <v>0.1776</v>
      </c>
      <c r="G333" s="12" t="n">
        <f aca="false">(A333+(C333*D333*COS(RADIANS(E333))^2-F333*C333*D333)*TAN(RADIANS(B333)))/(C333*D333*SIN(RADIANS(E333))*COS(RADIANS(E333)))</f>
        <v>1.72027592589953</v>
      </c>
    </row>
    <row r="334" customFormat="false" ht="15" hidden="false" customHeight="false" outlineLevel="0" collapsed="false">
      <c r="A334" s="0" t="n">
        <v>20.2</v>
      </c>
      <c r="B334" s="0" t="n">
        <v>37.345</v>
      </c>
      <c r="C334" s="0" t="n">
        <v>20.183</v>
      </c>
      <c r="D334" s="0" t="n">
        <v>9.991</v>
      </c>
      <c r="E334" s="0" t="n">
        <v>25.396</v>
      </c>
      <c r="F334" s="0" t="n">
        <v>0.1306</v>
      </c>
      <c r="G334" s="12" t="n">
        <f aca="false">(A334+(C334*D334*COS(RADIANS(E334))^2-F334*C334*D334)*TAN(RADIANS(B334)))/(C334*D334*SIN(RADIANS(E334))*COS(RADIANS(E334)))</f>
        <v>1.60858987356481</v>
      </c>
    </row>
    <row r="335" customFormat="false" ht="15" hidden="false" customHeight="false" outlineLevel="0" collapsed="false">
      <c r="A335" s="0" t="n">
        <v>17.331</v>
      </c>
      <c r="B335" s="0" t="n">
        <v>38.163</v>
      </c>
      <c r="C335" s="0" t="n">
        <v>19.299</v>
      </c>
      <c r="D335" s="0" t="n">
        <v>12.249</v>
      </c>
      <c r="E335" s="0" t="n">
        <v>25.944</v>
      </c>
      <c r="F335" s="0" t="n">
        <v>0.1198</v>
      </c>
      <c r="G335" s="12" t="n">
        <f aca="false">(A335+(C335*D335*COS(RADIANS(E335))^2-F335*C335*D335)*TAN(RADIANS(B335)))/(C335*D335*SIN(RADIANS(E335))*COS(RADIANS(E335)))</f>
        <v>1.56233409787183</v>
      </c>
    </row>
    <row r="336" customFormat="false" ht="15" hidden="false" customHeight="false" outlineLevel="0" collapsed="false">
      <c r="A336" s="0" t="n">
        <v>21.929</v>
      </c>
      <c r="B336" s="0" t="n">
        <v>34.615</v>
      </c>
      <c r="C336" s="0" t="n">
        <v>20.456</v>
      </c>
      <c r="D336" s="0" t="n">
        <v>15.412</v>
      </c>
      <c r="E336" s="0" t="n">
        <v>28.562</v>
      </c>
      <c r="F336" s="0" t="n">
        <v>0.238</v>
      </c>
      <c r="G336" s="12" t="n">
        <f aca="false">(A336+(C336*D336*COS(RADIANS(E336))^2-F336*C336*D336)*TAN(RADIANS(B336)))/(C336*D336*SIN(RADIANS(E336))*COS(RADIANS(E336)))</f>
        <v>1.04242449806248</v>
      </c>
    </row>
    <row r="337" customFormat="false" ht="15" hidden="false" customHeight="false" outlineLevel="0" collapsed="false">
      <c r="A337" s="0" t="n">
        <v>19.71</v>
      </c>
      <c r="B337" s="0" t="n">
        <v>32.509</v>
      </c>
      <c r="C337" s="0" t="n">
        <v>19.573</v>
      </c>
      <c r="D337" s="0" t="n">
        <v>17.86</v>
      </c>
      <c r="E337" s="0" t="n">
        <v>24.814</v>
      </c>
      <c r="F337" s="0" t="n">
        <v>0.1579</v>
      </c>
      <c r="G337" s="12" t="n">
        <f aca="false">(A337+(C337*D337*COS(RADIANS(E337))^2-F337*C337*D337)*TAN(RADIANS(B337)))/(C337*D337*SIN(RADIANS(E337))*COS(RADIANS(E337)))</f>
        <v>1.26218817639703</v>
      </c>
    </row>
    <row r="338" customFormat="false" ht="15" hidden="false" customHeight="false" outlineLevel="0" collapsed="false">
      <c r="A338" s="0" t="n">
        <v>16.756</v>
      </c>
      <c r="B338" s="0" t="n">
        <v>37.108</v>
      </c>
      <c r="C338" s="0" t="n">
        <v>19.786</v>
      </c>
      <c r="D338" s="0" t="n">
        <v>13.566</v>
      </c>
      <c r="E338" s="0" t="n">
        <v>26.639</v>
      </c>
      <c r="F338" s="0" t="n">
        <v>0.1044</v>
      </c>
      <c r="G338" s="12" t="n">
        <f aca="false">(A338+(C338*D338*COS(RADIANS(E338))^2-F338*C338*D338)*TAN(RADIANS(B338)))/(C338*D338*SIN(RADIANS(E338))*COS(RADIANS(E338)))</f>
        <v>1.46685074178327</v>
      </c>
    </row>
    <row r="339" customFormat="false" ht="15" hidden="false" customHeight="false" outlineLevel="0" collapsed="false">
      <c r="A339" s="0" t="n">
        <v>21.976</v>
      </c>
      <c r="B339" s="0" t="n">
        <v>36.037</v>
      </c>
      <c r="C339" s="0" t="n">
        <v>18.394</v>
      </c>
      <c r="D339" s="0" t="n">
        <v>15.244</v>
      </c>
      <c r="E339" s="0" t="n">
        <v>29.428</v>
      </c>
      <c r="F339" s="0" t="n">
        <v>0</v>
      </c>
      <c r="G339" s="12" t="n">
        <f aca="false">(A339+(C339*D339*COS(RADIANS(E339))^2-F339*C339*D339)*TAN(RADIANS(B339)))/(C339*D339*SIN(RADIANS(E339))*COS(RADIANS(E339)))</f>
        <v>1.47282828511711</v>
      </c>
    </row>
    <row r="340" customFormat="false" ht="15" hidden="false" customHeight="false" outlineLevel="0" collapsed="false">
      <c r="A340" s="0" t="n">
        <v>16.756</v>
      </c>
      <c r="B340" s="0" t="n">
        <v>33.494</v>
      </c>
      <c r="C340" s="0" t="n">
        <v>19.17</v>
      </c>
      <c r="D340" s="0" t="n">
        <v>18.062</v>
      </c>
      <c r="E340" s="0" t="n">
        <v>28.305</v>
      </c>
      <c r="F340" s="0" t="n">
        <v>0.097</v>
      </c>
      <c r="G340" s="12" t="n">
        <f aca="false">(A340+(C340*D340*COS(RADIANS(E340))^2-F340*C340*D340)*TAN(RADIANS(B340)))/(C340*D340*SIN(RADIANS(E340))*COS(RADIANS(E340)))</f>
        <v>1.19088271377197</v>
      </c>
    </row>
    <row r="341" customFormat="false" ht="15" hidden="false" customHeight="false" outlineLevel="0" collapsed="false">
      <c r="A341" s="0" t="n">
        <v>18.312</v>
      </c>
      <c r="B341" s="0" t="n">
        <v>37.138</v>
      </c>
      <c r="C341" s="0" t="n">
        <v>20.943</v>
      </c>
      <c r="D341" s="0" t="n">
        <v>14.605</v>
      </c>
      <c r="E341" s="0" t="n">
        <v>26.924</v>
      </c>
      <c r="F341" s="0" t="n">
        <v>0.0932</v>
      </c>
      <c r="G341" s="12" t="n">
        <f aca="false">(A341+(C341*D341*COS(RADIANS(E341))^2-F341*C341*D341)*TAN(RADIANS(B341)))/(C341*D341*SIN(RADIANS(E341))*COS(RADIANS(E341)))</f>
        <v>1.46470257738462</v>
      </c>
    </row>
    <row r="342" customFormat="false" ht="15" hidden="false" customHeight="false" outlineLevel="0" collapsed="false">
      <c r="A342" s="0" t="n">
        <v>13.814</v>
      </c>
      <c r="B342" s="0" t="n">
        <v>36.769</v>
      </c>
      <c r="C342" s="0" t="n">
        <v>20.853</v>
      </c>
      <c r="D342" s="0" t="n">
        <v>15.079</v>
      </c>
      <c r="E342" s="0" t="n">
        <v>27.797</v>
      </c>
      <c r="F342" s="0" t="n">
        <v>0.2151</v>
      </c>
      <c r="G342" s="12" t="n">
        <f aca="false">(A342+(C342*D342*COS(RADIANS(E342))^2-F342*C342*D342)*TAN(RADIANS(B342)))/(C342*D342*SIN(RADIANS(E342))*COS(RADIANS(E342)))</f>
        <v>1.13433139442838</v>
      </c>
    </row>
    <row r="343" customFormat="false" ht="15" hidden="false" customHeight="false" outlineLevel="0" collapsed="false">
      <c r="A343" s="0" t="n">
        <v>15.266</v>
      </c>
      <c r="B343" s="0" t="n">
        <v>29.839</v>
      </c>
      <c r="C343" s="0" t="n">
        <v>19.615</v>
      </c>
      <c r="D343" s="0" t="n">
        <v>16.119</v>
      </c>
      <c r="E343" s="0" t="n">
        <v>24.578</v>
      </c>
      <c r="F343" s="0" t="n">
        <v>0.2199</v>
      </c>
      <c r="G343" s="12" t="n">
        <f aca="false">(A343+(C343*D343*COS(RADIANS(E343))^2-F343*C343*D343)*TAN(RADIANS(B343)))/(C343*D343*SIN(RADIANS(E343))*COS(RADIANS(E343)))</f>
        <v>1.04831751525047</v>
      </c>
    </row>
    <row r="344" customFormat="false" ht="15" hidden="false" customHeight="false" outlineLevel="0" collapsed="false">
      <c r="A344" s="0" t="n">
        <v>12.21</v>
      </c>
      <c r="B344" s="0" t="n">
        <v>36.863</v>
      </c>
      <c r="C344" s="0" t="n">
        <v>18.831</v>
      </c>
      <c r="D344" s="0" t="n">
        <v>16.903</v>
      </c>
      <c r="E344" s="0" t="n">
        <v>27.013</v>
      </c>
      <c r="F344" s="0" t="n">
        <v>0.2271</v>
      </c>
      <c r="G344" s="12" t="n">
        <f aca="false">(A344+(C344*D344*COS(RADIANS(E344))^2-F344*C344*D344)*TAN(RADIANS(B344)))/(C344*D344*SIN(RADIANS(E344))*COS(RADIANS(E344)))</f>
        <v>1.14474128142607</v>
      </c>
    </row>
    <row r="345" customFormat="false" ht="15" hidden="false" customHeight="false" outlineLevel="0" collapsed="false">
      <c r="A345" s="0" t="n">
        <v>18.958</v>
      </c>
      <c r="B345" s="0" t="n">
        <v>37.899</v>
      </c>
      <c r="C345" s="0" t="n">
        <v>21.069</v>
      </c>
      <c r="D345" s="0" t="n">
        <v>19.361</v>
      </c>
      <c r="E345" s="0" t="n">
        <v>27.573</v>
      </c>
      <c r="F345" s="0" t="n">
        <v>0.1242</v>
      </c>
      <c r="G345" s="12" t="n">
        <f aca="false">(A345+(C345*D345*COS(RADIANS(E345))^2-F345*C345*D345)*TAN(RADIANS(B345)))/(C345*D345*SIN(RADIANS(E345))*COS(RADIANS(E345)))</f>
        <v>1.36838109280938</v>
      </c>
    </row>
    <row r="346" customFormat="false" ht="15" hidden="false" customHeight="false" outlineLevel="0" collapsed="false">
      <c r="A346" s="0" t="n">
        <v>10.287</v>
      </c>
      <c r="B346" s="0" t="n">
        <v>30.438</v>
      </c>
      <c r="C346" s="0" t="n">
        <v>19.521</v>
      </c>
      <c r="D346" s="0" t="n">
        <v>14.869</v>
      </c>
      <c r="E346" s="0" t="n">
        <v>27.49</v>
      </c>
      <c r="F346" s="0" t="n">
        <v>0.1988</v>
      </c>
      <c r="G346" s="12" t="n">
        <f aca="false">(A346+(C346*D346*COS(RADIANS(E346))^2-F346*C346*D346)*TAN(RADIANS(B346)))/(C346*D346*SIN(RADIANS(E346))*COS(RADIANS(E346)))</f>
        <v>0.930506446052736</v>
      </c>
    </row>
    <row r="347" customFormat="false" ht="15" hidden="false" customHeight="false" outlineLevel="0" collapsed="false">
      <c r="A347" s="0" t="n">
        <v>18.129</v>
      </c>
      <c r="B347" s="0" t="n">
        <v>40.867</v>
      </c>
      <c r="C347" s="0" t="n">
        <v>21.28</v>
      </c>
      <c r="D347" s="0" t="n">
        <v>15.951</v>
      </c>
      <c r="E347" s="0" t="n">
        <v>28.191</v>
      </c>
      <c r="F347" s="0" t="n">
        <v>0.0334</v>
      </c>
      <c r="G347" s="12" t="n">
        <f aca="false">(A347+(C347*D347*COS(RADIANS(E347))^2-F347*C347*D347)*TAN(RADIANS(B347)))/(C347*D347*SIN(RADIANS(E347))*COS(RADIANS(E347)))</f>
        <v>1.67310339292858</v>
      </c>
    </row>
    <row r="348" customFormat="false" ht="15" hidden="false" customHeight="false" outlineLevel="0" collapsed="false">
      <c r="A348" s="0" t="n">
        <v>14.237</v>
      </c>
      <c r="B348" s="0" t="n">
        <v>39.209</v>
      </c>
      <c r="C348" s="0" t="n">
        <v>20.098</v>
      </c>
      <c r="D348" s="0" t="n">
        <v>16.356</v>
      </c>
      <c r="E348" s="0" t="n">
        <v>28.977</v>
      </c>
      <c r="F348" s="0" t="n">
        <v>0.1443</v>
      </c>
      <c r="G348" s="12" t="n">
        <f aca="false">(A348+(C348*D348*COS(RADIANS(E348))^2-F348*C348*D348)*TAN(RADIANS(B348)))/(C348*D348*SIN(RADIANS(E348))*COS(RADIANS(E348)))</f>
        <v>1.29762432951478</v>
      </c>
    </row>
    <row r="349" customFormat="false" ht="15" hidden="false" customHeight="false" outlineLevel="0" collapsed="false">
      <c r="A349" s="0" t="n">
        <v>19.685</v>
      </c>
      <c r="B349" s="0" t="n">
        <v>29.848</v>
      </c>
      <c r="C349" s="0" t="n">
        <v>19.037</v>
      </c>
      <c r="D349" s="0" t="n">
        <v>19.056</v>
      </c>
      <c r="E349" s="0" t="n">
        <v>27.669</v>
      </c>
      <c r="F349" s="0" t="n">
        <v>0.2268</v>
      </c>
      <c r="G349" s="12" t="n">
        <f aca="false">(A349+(C349*D349*COS(RADIANS(E349))^2-F349*C349*D349)*TAN(RADIANS(B349)))/(C349*D349*SIN(RADIANS(E349))*COS(RADIANS(E349)))</f>
        <v>0.909898372501452</v>
      </c>
    </row>
    <row r="350" customFormat="false" ht="15" hidden="false" customHeight="false" outlineLevel="0" collapsed="false">
      <c r="A350" s="0" t="n">
        <v>18.003</v>
      </c>
      <c r="B350" s="0" t="n">
        <v>33.927</v>
      </c>
      <c r="C350" s="0" t="n">
        <v>20.596</v>
      </c>
      <c r="D350" s="0" t="n">
        <v>17.378</v>
      </c>
      <c r="E350" s="0" t="n">
        <v>29.53</v>
      </c>
      <c r="F350" s="0" t="n">
        <v>0.1935</v>
      </c>
      <c r="G350" s="12" t="n">
        <f aca="false">(A350+(C350*D350*COS(RADIANS(E350))^2-F350*C350*D350)*TAN(RADIANS(B350)))/(C350*D350*SIN(RADIANS(E350))*COS(RADIANS(E350)))</f>
        <v>1.00124807494869</v>
      </c>
    </row>
    <row r="351" customFormat="false" ht="15" hidden="false" customHeight="false" outlineLevel="0" collapsed="false">
      <c r="A351" s="0" t="n">
        <v>22.283</v>
      </c>
      <c r="B351" s="0" t="n">
        <v>32.322</v>
      </c>
      <c r="C351" s="0" t="n">
        <v>19.641</v>
      </c>
      <c r="D351" s="0" t="n">
        <v>17.998</v>
      </c>
      <c r="E351" s="0" t="n">
        <v>27.219</v>
      </c>
      <c r="F351" s="0" t="n">
        <v>0.2271</v>
      </c>
      <c r="G351" s="12" t="n">
        <f aca="false">(A351+(C351*D351*COS(RADIANS(E351))^2-F351*C351*D351)*TAN(RADIANS(B351)))/(C351*D351*SIN(RADIANS(E351))*COS(RADIANS(E351)))</f>
        <v>1.03182948142512</v>
      </c>
    </row>
    <row r="352" customFormat="false" ht="15" hidden="false" customHeight="false" outlineLevel="0" collapsed="false">
      <c r="A352" s="0" t="n">
        <v>17.923</v>
      </c>
      <c r="B352" s="0" t="n">
        <v>31.443</v>
      </c>
      <c r="C352" s="0" t="n">
        <v>19.446</v>
      </c>
      <c r="D352" s="0" t="n">
        <v>12.665</v>
      </c>
      <c r="E352" s="0" t="n">
        <v>26.374</v>
      </c>
      <c r="F352" s="0" t="n">
        <v>0.0391</v>
      </c>
      <c r="G352" s="12" t="n">
        <f aca="false">(A352+(C352*D352*COS(RADIANS(E352))^2-F352*C352*D352)*TAN(RADIANS(B352)))/(C352*D352*SIN(RADIANS(E352))*COS(RADIANS(E352)))</f>
        <v>1.35591274138915</v>
      </c>
    </row>
    <row r="353" customFormat="false" ht="15" hidden="false" customHeight="false" outlineLevel="0" collapsed="false">
      <c r="A353" s="0" t="n">
        <v>8.712</v>
      </c>
      <c r="B353" s="0" t="n">
        <v>35.944</v>
      </c>
      <c r="C353" s="0" t="n">
        <v>19.926</v>
      </c>
      <c r="D353" s="0" t="n">
        <v>11.938</v>
      </c>
      <c r="E353" s="0" t="n">
        <v>28.801</v>
      </c>
      <c r="F353" s="0" t="n">
        <v>0.2081</v>
      </c>
      <c r="G353" s="12" t="n">
        <f aca="false">(A353+(C353*D353*COS(RADIANS(E353))^2-F353*C353*D353)*TAN(RADIANS(B353)))/(C353*D353*SIN(RADIANS(E353))*COS(RADIANS(E353)))</f>
        <v>1.04816242980428</v>
      </c>
    </row>
    <row r="354" customFormat="false" ht="15" hidden="false" customHeight="false" outlineLevel="0" collapsed="false">
      <c r="A354" s="0" t="n">
        <v>14.732</v>
      </c>
      <c r="B354" s="0" t="n">
        <v>35.449</v>
      </c>
      <c r="C354" s="0" t="n">
        <v>18.716</v>
      </c>
      <c r="D354" s="0" t="n">
        <v>14.24</v>
      </c>
      <c r="E354" s="0" t="n">
        <v>26.754</v>
      </c>
      <c r="F354" s="0" t="n">
        <v>0.1307</v>
      </c>
      <c r="G354" s="12" t="n">
        <f aca="false">(A354+(C354*D354*COS(RADIANS(E354))^2-F354*C354*D354)*TAN(RADIANS(B354)))/(C354*D354*SIN(RADIANS(E354))*COS(RADIANS(E354)))</f>
        <v>1.31826295640656</v>
      </c>
    </row>
    <row r="355" customFormat="false" ht="15" hidden="false" customHeight="false" outlineLevel="0" collapsed="false">
      <c r="A355" s="0" t="n">
        <v>10.312</v>
      </c>
      <c r="B355" s="0" t="n">
        <v>32.272</v>
      </c>
      <c r="C355" s="0" t="n">
        <v>20.479</v>
      </c>
      <c r="D355" s="0" t="n">
        <v>8.413</v>
      </c>
      <c r="E355" s="0" t="n">
        <v>31.193</v>
      </c>
      <c r="F355" s="0" t="n">
        <v>0.2162</v>
      </c>
      <c r="G355" s="12" t="n">
        <f aca="false">(A355+(C355*D355*COS(RADIANS(E355))^2-F355*C355*D355)*TAN(RADIANS(B355)))/(C355*D355*SIN(RADIANS(E355))*COS(RADIANS(E355)))</f>
        <v>0.869936699838908</v>
      </c>
    </row>
    <row r="356" customFormat="false" ht="15" hidden="false" customHeight="false" outlineLevel="0" collapsed="false">
      <c r="A356" s="0" t="n">
        <v>12.927</v>
      </c>
      <c r="B356" s="0" t="n">
        <v>32.618</v>
      </c>
      <c r="C356" s="0" t="n">
        <v>19.409</v>
      </c>
      <c r="D356" s="0" t="n">
        <v>12.714</v>
      </c>
      <c r="E356" s="0" t="n">
        <v>27.664</v>
      </c>
      <c r="F356" s="0" t="n">
        <v>0.104</v>
      </c>
      <c r="G356" s="12" t="n">
        <f aca="false">(A356+(C356*D356*COS(RADIANS(E356))^2-F356*C356*D356)*TAN(RADIANS(B356)))/(C356*D356*SIN(RADIANS(E356))*COS(RADIANS(E356)))</f>
        <v>1.1863632484914</v>
      </c>
    </row>
    <row r="357" customFormat="false" ht="15" hidden="false" customHeight="false" outlineLevel="0" collapsed="false">
      <c r="A357" s="0" t="n">
        <v>21.045</v>
      </c>
      <c r="B357" s="0" t="n">
        <v>35.036</v>
      </c>
      <c r="C357" s="0" t="n">
        <v>18.012</v>
      </c>
      <c r="D357" s="0" t="n">
        <v>12.095</v>
      </c>
      <c r="E357" s="0" t="n">
        <v>27.822</v>
      </c>
      <c r="F357" s="0" t="n">
        <v>0.2337</v>
      </c>
      <c r="G357" s="12" t="n">
        <f aca="false">(A357+(C357*D357*COS(RADIANS(E357))^2-F357*C357*D357)*TAN(RADIANS(B357)))/(C357*D357*SIN(RADIANS(E357))*COS(RADIANS(E357)))</f>
        <v>1.16566364578158</v>
      </c>
    </row>
    <row r="358" customFormat="false" ht="15" hidden="false" customHeight="false" outlineLevel="0" collapsed="false">
      <c r="A358" s="0" t="n">
        <v>17.55</v>
      </c>
      <c r="B358" s="0" t="n">
        <v>36.235</v>
      </c>
      <c r="C358" s="0" t="n">
        <v>18.942</v>
      </c>
      <c r="D358" s="0" t="n">
        <v>15.505</v>
      </c>
      <c r="E358" s="0" t="n">
        <v>25.629</v>
      </c>
      <c r="F358" s="0" t="n">
        <v>0.1254</v>
      </c>
      <c r="G358" s="12" t="n">
        <f aca="false">(A358+(C358*D358*COS(RADIANS(E358))^2-F358*C358*D358)*TAN(RADIANS(B358)))/(C358*D358*SIN(RADIANS(E358))*COS(RADIANS(E358)))</f>
        <v>1.44512960555939</v>
      </c>
    </row>
    <row r="359" customFormat="false" ht="15" hidden="false" customHeight="false" outlineLevel="0" collapsed="false">
      <c r="A359" s="0" t="n">
        <v>12.204</v>
      </c>
      <c r="B359" s="0" t="n">
        <v>32.524</v>
      </c>
      <c r="C359" s="0" t="n">
        <v>23.784</v>
      </c>
      <c r="D359" s="0" t="n">
        <v>12.323</v>
      </c>
      <c r="E359" s="0" t="n">
        <v>31.382</v>
      </c>
      <c r="F359" s="0" t="n">
        <v>0.1944</v>
      </c>
      <c r="G359" s="12" t="n">
        <f aca="false">(A359+(C359*D359*COS(RADIANS(E359))^2-F359*C359*D359)*TAN(RADIANS(B359)))/(C359*D359*SIN(RADIANS(E359))*COS(RADIANS(E359)))</f>
        <v>0.860217711663759</v>
      </c>
    </row>
    <row r="360" customFormat="false" ht="15" hidden="false" customHeight="false" outlineLevel="0" collapsed="false">
      <c r="A360" s="0" t="n">
        <v>10.945</v>
      </c>
      <c r="B360" s="0" t="n">
        <v>35.21</v>
      </c>
      <c r="C360" s="0" t="n">
        <v>19.73</v>
      </c>
      <c r="D360" s="0" t="n">
        <v>9.745</v>
      </c>
      <c r="E360" s="0" t="n">
        <v>29.27</v>
      </c>
      <c r="F360" s="0" t="n">
        <v>0.2231</v>
      </c>
      <c r="G360" s="12" t="n">
        <f aca="false">(A360+(C360*D360*COS(RADIANS(E360))^2-F360*C360*D360)*TAN(RADIANS(B360)))/(C360*D360*SIN(RADIANS(E360))*COS(RADIANS(E360)))</f>
        <v>1.02339095389146</v>
      </c>
    </row>
    <row r="361" customFormat="false" ht="15" hidden="false" customHeight="false" outlineLevel="0" collapsed="false">
      <c r="A361" s="0" t="n">
        <v>15.131</v>
      </c>
      <c r="B361" s="0" t="n">
        <v>36.659</v>
      </c>
      <c r="C361" s="0" t="n">
        <v>21.144</v>
      </c>
      <c r="D361" s="0" t="n">
        <v>17.085</v>
      </c>
      <c r="E361" s="0" t="n">
        <v>28.524</v>
      </c>
      <c r="F361" s="0" t="n">
        <v>0.2567</v>
      </c>
      <c r="G361" s="12" t="n">
        <f aca="false">(A361+(C361*D361*COS(RADIANS(E361))^2-F361*C361*D361)*TAN(RADIANS(B361)))/(C361*D361*SIN(RADIANS(E361))*COS(RADIANS(E361)))</f>
        <v>1.01386716052853</v>
      </c>
    </row>
    <row r="362" customFormat="false" ht="15" hidden="false" customHeight="false" outlineLevel="0" collapsed="false">
      <c r="A362" s="0" t="n">
        <v>10.134</v>
      </c>
      <c r="B362" s="0" t="n">
        <v>37.751</v>
      </c>
      <c r="C362" s="0" t="n">
        <v>17.832</v>
      </c>
      <c r="D362" s="0" t="n">
        <v>13.897</v>
      </c>
      <c r="E362" s="0" t="n">
        <v>28.517</v>
      </c>
      <c r="F362" s="0" t="n">
        <v>0.2612</v>
      </c>
      <c r="G362" s="12" t="n">
        <f aca="false">(A362+(C362*D362*COS(RADIANS(E362))^2-F362*C362*D362)*TAN(RADIANS(B362)))/(C362*D362*SIN(RADIANS(E362))*COS(RADIANS(E362)))</f>
        <v>1.04045269952918</v>
      </c>
    </row>
    <row r="363" customFormat="false" ht="15" hidden="false" customHeight="false" outlineLevel="0" collapsed="false">
      <c r="A363" s="0" t="n">
        <v>12.315</v>
      </c>
      <c r="B363" s="0" t="n">
        <v>35.885</v>
      </c>
      <c r="C363" s="0" t="n">
        <v>19.868</v>
      </c>
      <c r="D363" s="0" t="n">
        <v>20.253</v>
      </c>
      <c r="E363" s="0" t="n">
        <v>29.79</v>
      </c>
      <c r="F363" s="0" t="n">
        <v>0.0927</v>
      </c>
      <c r="G363" s="12" t="n">
        <f aca="false">(A363+(C363*D363*COS(RADIANS(E363))^2-F363*C363*D363)*TAN(RADIANS(B363)))/(C363*D363*SIN(RADIANS(E363))*COS(RADIANS(E363)))</f>
        <v>1.17921441424557</v>
      </c>
    </row>
    <row r="364" customFormat="false" ht="15" hidden="false" customHeight="false" outlineLevel="0" collapsed="false">
      <c r="A364" s="0" t="n">
        <v>16.248</v>
      </c>
      <c r="B364" s="0" t="n">
        <v>35.481</v>
      </c>
      <c r="C364" s="0" t="n">
        <v>18.428</v>
      </c>
      <c r="D364" s="0" t="n">
        <v>16.081</v>
      </c>
      <c r="E364" s="0" t="n">
        <v>29.258</v>
      </c>
      <c r="F364" s="0" t="n">
        <v>0.2165</v>
      </c>
      <c r="G364" s="12" t="n">
        <f aca="false">(A364+(C364*D364*COS(RADIANS(E364))^2-F364*C364*D364)*TAN(RADIANS(B364)))/(C364*D364*SIN(RADIANS(E364))*COS(RADIANS(E364)))</f>
        <v>1.03903511001582</v>
      </c>
    </row>
    <row r="365" customFormat="false" ht="15" hidden="false" customHeight="false" outlineLevel="0" collapsed="false">
      <c r="A365" s="0" t="n">
        <v>19.621</v>
      </c>
      <c r="B365" s="0" t="n">
        <v>34.284</v>
      </c>
      <c r="C365" s="0" t="n">
        <v>18.864</v>
      </c>
      <c r="D365" s="0" t="n">
        <v>11.654</v>
      </c>
      <c r="E365" s="0" t="n">
        <v>31.129</v>
      </c>
      <c r="F365" s="0" t="n">
        <v>0.1404</v>
      </c>
      <c r="G365" s="12" t="n">
        <f aca="false">(A365+(C365*D365*COS(RADIANS(E365))^2-F365*C365*D365)*TAN(RADIANS(B365)))/(C365*D365*SIN(RADIANS(E365))*COS(RADIANS(E365)))</f>
        <v>1.11423697889004</v>
      </c>
    </row>
    <row r="366" customFormat="false" ht="15" hidden="false" customHeight="false" outlineLevel="0" collapsed="false">
      <c r="A366" s="0" t="n">
        <v>17.435</v>
      </c>
      <c r="B366" s="0" t="n">
        <v>33.777</v>
      </c>
      <c r="C366" s="0" t="n">
        <v>19.461</v>
      </c>
      <c r="D366" s="0" t="n">
        <v>14.373</v>
      </c>
      <c r="E366" s="0" t="n">
        <v>28.014</v>
      </c>
      <c r="F366" s="0" t="n">
        <v>0.0978</v>
      </c>
      <c r="G366" s="12" t="n">
        <f aca="false">(A366+(C366*D366*COS(RADIANS(E366))^2-F366*C366*D366)*TAN(RADIANS(B366)))/(C366*D366*SIN(RADIANS(E366))*COS(RADIANS(E366)))</f>
        <v>1.24976783027777</v>
      </c>
    </row>
    <row r="367" customFormat="false" ht="15" hidden="false" customHeight="false" outlineLevel="0" collapsed="false">
      <c r="A367" s="0" t="n">
        <v>5.835</v>
      </c>
      <c r="B367" s="0" t="n">
        <v>35.537</v>
      </c>
      <c r="C367" s="0" t="n">
        <v>21.701</v>
      </c>
      <c r="D367" s="0" t="n">
        <v>18.786</v>
      </c>
      <c r="E367" s="0" t="n">
        <v>35.108</v>
      </c>
      <c r="F367" s="0" t="n">
        <v>0.2269</v>
      </c>
      <c r="G367" s="12" t="n">
        <f aca="false">(A367+(C367*D367*COS(RADIANS(E367))^2-F367*C367*D367)*TAN(RADIANS(B367)))/(C367*D367*SIN(RADIANS(E367))*COS(RADIANS(E367)))</f>
        <v>0.701953337943024</v>
      </c>
    </row>
    <row r="368" customFormat="false" ht="15" hidden="false" customHeight="false" outlineLevel="0" collapsed="false">
      <c r="A368" s="0" t="n">
        <v>16.217</v>
      </c>
      <c r="B368" s="0" t="n">
        <v>35.287</v>
      </c>
      <c r="C368" s="0" t="n">
        <v>21.119</v>
      </c>
      <c r="D368" s="0" t="n">
        <v>11.776</v>
      </c>
      <c r="E368" s="0" t="n">
        <v>30.681</v>
      </c>
      <c r="F368" s="0" t="n">
        <v>0.2083</v>
      </c>
      <c r="G368" s="12" t="n">
        <f aca="false">(A368+(C368*D368*COS(RADIANS(E368))^2-F368*C368*D368)*TAN(RADIANS(B368)))/(C368*D368*SIN(RADIANS(E368))*COS(RADIANS(E368)))</f>
        <v>1.00547302591381</v>
      </c>
    </row>
    <row r="369" customFormat="false" ht="15" hidden="false" customHeight="false" outlineLevel="0" collapsed="false">
      <c r="A369" s="0" t="n">
        <v>15.288</v>
      </c>
      <c r="B369" s="0" t="n">
        <v>36.241</v>
      </c>
      <c r="C369" s="0" t="n">
        <v>19.113</v>
      </c>
      <c r="D369" s="0" t="n">
        <v>14.66</v>
      </c>
      <c r="E369" s="0" t="n">
        <v>30.912</v>
      </c>
      <c r="F369" s="0" t="n">
        <v>0.1724</v>
      </c>
      <c r="G369" s="12" t="n">
        <f aca="false">(A369+(C369*D369*COS(RADIANS(E369))^2-F369*C369*D369)*TAN(RADIANS(B369)))/(C369*D369*SIN(RADIANS(E369))*COS(RADIANS(E369)))</f>
        <v>1.0612366294857</v>
      </c>
    </row>
    <row r="370" customFormat="false" ht="15" hidden="false" customHeight="false" outlineLevel="0" collapsed="false">
      <c r="A370" s="0" t="n">
        <v>16.656</v>
      </c>
      <c r="B370" s="0" t="n">
        <v>32.707</v>
      </c>
      <c r="C370" s="0" t="n">
        <v>20.399</v>
      </c>
      <c r="D370" s="0" t="n">
        <v>17.311</v>
      </c>
      <c r="E370" s="0" t="n">
        <v>26.576</v>
      </c>
      <c r="F370" s="0" t="n">
        <v>0.1776</v>
      </c>
      <c r="G370" s="12" t="n">
        <f aca="false">(A370+(C370*D370*COS(RADIANS(E370))^2-F370*C370*D370)*TAN(RADIANS(B370)))/(C370*D370*SIN(RADIANS(E370))*COS(RADIANS(E370)))</f>
        <v>1.11655517771374</v>
      </c>
    </row>
    <row r="371" customFormat="false" ht="15" hidden="false" customHeight="false" outlineLevel="0" collapsed="false">
      <c r="A371" s="0" t="n">
        <v>21.465</v>
      </c>
      <c r="B371" s="0" t="n">
        <v>36.924</v>
      </c>
      <c r="C371" s="0" t="n">
        <v>20.098</v>
      </c>
      <c r="D371" s="0" t="n">
        <v>14.293</v>
      </c>
      <c r="E371" s="0" t="n">
        <v>27.044</v>
      </c>
      <c r="F371" s="0" t="n">
        <v>0.1439</v>
      </c>
      <c r="G371" s="12" t="n">
        <f aca="false">(A371+(C371*D371*COS(RADIANS(E371))^2-F371*C371*D371)*TAN(RADIANS(B371)))/(C371*D371*SIN(RADIANS(E371))*COS(RADIANS(E371)))</f>
        <v>1.38954688158385</v>
      </c>
    </row>
    <row r="372" customFormat="false" ht="15" hidden="false" customHeight="false" outlineLevel="0" collapsed="false">
      <c r="A372" s="0" t="n">
        <v>6.747</v>
      </c>
      <c r="B372" s="0" t="n">
        <v>30.444</v>
      </c>
      <c r="C372" s="0" t="n">
        <v>19.114</v>
      </c>
      <c r="D372" s="0" t="n">
        <v>16.54</v>
      </c>
      <c r="E372" s="0" t="n">
        <v>28.158</v>
      </c>
      <c r="F372" s="0" t="n">
        <v>0.1571</v>
      </c>
      <c r="G372" s="12" t="n">
        <f aca="false">(A372+(C372*D372*COS(RADIANS(E372))^2-F372*C372*D372)*TAN(RADIANS(B372)))/(C372*D372*SIN(RADIANS(E372))*COS(RADIANS(E372)))</f>
        <v>0.927413737941816</v>
      </c>
    </row>
    <row r="373" customFormat="false" ht="15" hidden="false" customHeight="false" outlineLevel="0" collapsed="false">
      <c r="A373" s="0" t="n">
        <v>12.636</v>
      </c>
      <c r="B373" s="0" t="n">
        <v>37.048</v>
      </c>
      <c r="C373" s="0" t="n">
        <v>17.949</v>
      </c>
      <c r="D373" s="0" t="n">
        <v>17.902</v>
      </c>
      <c r="E373" s="0" t="n">
        <v>27.436</v>
      </c>
      <c r="F373" s="0" t="n">
        <v>0.1709</v>
      </c>
      <c r="G373" s="12" t="n">
        <f aca="false">(A373+(C373*D373*COS(RADIANS(E373))^2-F373*C373*D373)*TAN(RADIANS(B373)))/(C373*D373*SIN(RADIANS(E373))*COS(RADIANS(E373)))</f>
        <v>1.23474503068409</v>
      </c>
    </row>
    <row r="374" customFormat="false" ht="15" hidden="false" customHeight="false" outlineLevel="0" collapsed="false">
      <c r="A374" s="0" t="n">
        <v>17.364</v>
      </c>
      <c r="B374" s="0" t="n">
        <v>34.365</v>
      </c>
      <c r="C374" s="0" t="n">
        <v>21.357</v>
      </c>
      <c r="D374" s="0" t="n">
        <v>12.99</v>
      </c>
      <c r="E374" s="0" t="n">
        <v>29.926</v>
      </c>
      <c r="F374" s="0" t="n">
        <v>0.2874</v>
      </c>
      <c r="G374" s="12" t="n">
        <f aca="false">(A374+(C374*D374*COS(RADIANS(E374))^2-F374*C374*D374)*TAN(RADIANS(B374)))/(C374*D374*SIN(RADIANS(E374))*COS(RADIANS(E374)))</f>
        <v>0.878163429343864</v>
      </c>
    </row>
    <row r="375" customFormat="false" ht="15" hidden="false" customHeight="false" outlineLevel="0" collapsed="false">
      <c r="A375" s="0" t="n">
        <v>8.674</v>
      </c>
      <c r="B375" s="0" t="n">
        <v>31.608</v>
      </c>
      <c r="C375" s="0" t="n">
        <v>21.052</v>
      </c>
      <c r="D375" s="0" t="n">
        <v>14.407</v>
      </c>
      <c r="E375" s="0" t="n">
        <v>29.234</v>
      </c>
      <c r="F375" s="0" t="n">
        <v>0.1741</v>
      </c>
      <c r="G375" s="12" t="n">
        <f aca="false">(A375+(C375*D375*COS(RADIANS(E375))^2-F375*C375*D375)*TAN(RADIANS(B375)))/(C375*D375*SIN(RADIANS(E375))*COS(RADIANS(E375)))</f>
        <v>0.915295586364754</v>
      </c>
    </row>
    <row r="376" customFormat="false" ht="15" hidden="false" customHeight="false" outlineLevel="0" collapsed="false">
      <c r="A376" s="0" t="n">
        <v>20.904</v>
      </c>
      <c r="B376" s="0" t="n">
        <v>31.627</v>
      </c>
      <c r="C376" s="0" t="n">
        <v>20.073</v>
      </c>
      <c r="D376" s="0" t="n">
        <v>14.117</v>
      </c>
      <c r="E376" s="0" t="n">
        <v>24.935</v>
      </c>
      <c r="F376" s="0" t="n">
        <v>0.0752</v>
      </c>
      <c r="G376" s="12" t="n">
        <f aca="false">(A376+(C376*D376*COS(RADIANS(E376))^2-F376*C376*D376)*TAN(RADIANS(B376)))/(C376*D376*SIN(RADIANS(E376))*COS(RADIANS(E376)))</f>
        <v>1.39644607721708</v>
      </c>
    </row>
    <row r="377" customFormat="false" ht="15" hidden="false" customHeight="false" outlineLevel="0" collapsed="false">
      <c r="A377" s="0" t="n">
        <v>16.473</v>
      </c>
      <c r="B377" s="0" t="n">
        <v>36.649</v>
      </c>
      <c r="C377" s="0" t="n">
        <v>19.387</v>
      </c>
      <c r="D377" s="0" t="n">
        <v>12.997</v>
      </c>
      <c r="E377" s="0" t="n">
        <v>27.281</v>
      </c>
      <c r="F377" s="0" t="n">
        <v>0.1531</v>
      </c>
      <c r="G377" s="12" t="n">
        <f aca="false">(A377+(C377*D377*COS(RADIANS(E377))^2-F377*C377*D377)*TAN(RADIANS(B377)))/(C377*D377*SIN(RADIANS(E377))*COS(RADIANS(E377)))</f>
        <v>1.32350642634742</v>
      </c>
    </row>
    <row r="378" customFormat="false" ht="15" hidden="false" customHeight="false" outlineLevel="0" collapsed="false">
      <c r="A378" s="0" t="n">
        <v>18.386</v>
      </c>
      <c r="B378" s="0" t="n">
        <v>35.375</v>
      </c>
      <c r="C378" s="0" t="n">
        <v>19.749</v>
      </c>
      <c r="D378" s="0" t="n">
        <v>17.808</v>
      </c>
      <c r="E378" s="0" t="n">
        <v>25.906</v>
      </c>
      <c r="F378" s="0" t="n">
        <v>0.1207</v>
      </c>
      <c r="G378" s="12" t="n">
        <f aca="false">(A378+(C378*D378*COS(RADIANS(E378))^2-F378*C378*D378)*TAN(RADIANS(B378)))/(C378*D378*SIN(RADIANS(E378))*COS(RADIANS(E378)))</f>
        <v>1.37677446208704</v>
      </c>
    </row>
    <row r="379" customFormat="false" ht="15" hidden="false" customHeight="false" outlineLevel="0" collapsed="false">
      <c r="A379" s="0" t="n">
        <v>12.716</v>
      </c>
      <c r="B379" s="0" t="n">
        <v>35.62</v>
      </c>
      <c r="C379" s="0" t="n">
        <v>20.085</v>
      </c>
      <c r="D379" s="0" t="n">
        <v>17.135</v>
      </c>
      <c r="E379" s="0" t="n">
        <v>28.237</v>
      </c>
      <c r="F379" s="0" t="n">
        <v>0.2818</v>
      </c>
      <c r="G379" s="12" t="n">
        <f aca="false">(A379+(C379*D379*COS(RADIANS(E379))^2-F379*C379*D379)*TAN(RADIANS(B379)))/(C379*D379*SIN(RADIANS(E379))*COS(RADIANS(E379)))</f>
        <v>0.938383309829805</v>
      </c>
    </row>
    <row r="380" customFormat="false" ht="15" hidden="false" customHeight="false" outlineLevel="0" collapsed="false">
      <c r="A380" s="0" t="n">
        <v>18.255</v>
      </c>
      <c r="B380" s="0" t="n">
        <v>34.43</v>
      </c>
      <c r="C380" s="0" t="n">
        <v>21.135</v>
      </c>
      <c r="D380" s="0" t="n">
        <v>18.289</v>
      </c>
      <c r="E380" s="0" t="n">
        <v>24.556</v>
      </c>
      <c r="F380" s="0" t="n">
        <v>0.2141</v>
      </c>
      <c r="G380" s="12" t="n">
        <f aca="false">(A380+(C380*D380*COS(RADIANS(E380))^2-F380*C380*D380)*TAN(RADIANS(B380)))/(C380*D380*SIN(RADIANS(E380))*COS(RADIANS(E380)))</f>
        <v>1.23694528297516</v>
      </c>
    </row>
    <row r="381" customFormat="false" ht="15" hidden="false" customHeight="false" outlineLevel="0" collapsed="false">
      <c r="A381" s="0" t="n">
        <v>19.274</v>
      </c>
      <c r="B381" s="0" t="n">
        <v>33.781</v>
      </c>
      <c r="C381" s="0" t="n">
        <v>19.742</v>
      </c>
      <c r="D381" s="0" t="n">
        <v>13.857</v>
      </c>
      <c r="E381" s="0" t="n">
        <v>27.928</v>
      </c>
      <c r="F381" s="0" t="n">
        <v>0.055</v>
      </c>
      <c r="G381" s="12" t="n">
        <f aca="false">(A381+(C381*D381*COS(RADIANS(E381))^2-F381*C381*D381)*TAN(RADIANS(B381)))/(C381*D381*SIN(RADIANS(E381))*COS(RADIANS(E381)))</f>
        <v>1.34330252298475</v>
      </c>
    </row>
    <row r="382" customFormat="false" ht="15" hidden="false" customHeight="false" outlineLevel="0" collapsed="false">
      <c r="A382" s="0" t="n">
        <v>15.932</v>
      </c>
      <c r="B382" s="0" t="n">
        <v>35.36</v>
      </c>
      <c r="C382" s="0" t="n">
        <v>19.282</v>
      </c>
      <c r="D382" s="0" t="n">
        <v>18.818</v>
      </c>
      <c r="E382" s="0" t="n">
        <v>27.395</v>
      </c>
      <c r="F382" s="0" t="n">
        <v>0.1084</v>
      </c>
      <c r="G382" s="12" t="n">
        <f aca="false">(A382+(C382*D382*COS(RADIANS(E382))^2-F382*C382*D382)*TAN(RADIANS(B382)))/(C382*D382*SIN(RADIANS(E382))*COS(RADIANS(E382)))</f>
        <v>1.28846129740278</v>
      </c>
    </row>
    <row r="383" customFormat="false" ht="15" hidden="false" customHeight="false" outlineLevel="0" collapsed="false">
      <c r="A383" s="0" t="n">
        <v>15.938</v>
      </c>
      <c r="B383" s="0" t="n">
        <v>34.897</v>
      </c>
      <c r="C383" s="0" t="n">
        <v>20.287</v>
      </c>
      <c r="D383" s="0" t="n">
        <v>15.251</v>
      </c>
      <c r="E383" s="0" t="n">
        <v>28.555</v>
      </c>
      <c r="F383" s="0" t="n">
        <v>0.2485</v>
      </c>
      <c r="G383" s="12" t="n">
        <f aca="false">(A383+(C383*D383*COS(RADIANS(E383))^2-F383*C383*D383)*TAN(RADIANS(B383)))/(C383*D383*SIN(RADIANS(E383))*COS(RADIANS(E383)))</f>
        <v>0.991603448483288</v>
      </c>
    </row>
    <row r="384" customFormat="false" ht="15" hidden="false" customHeight="false" outlineLevel="0" collapsed="false">
      <c r="A384" s="0" t="n">
        <v>16.081</v>
      </c>
      <c r="B384" s="0" t="n">
        <v>32.711</v>
      </c>
      <c r="C384" s="0" t="n">
        <v>20.11</v>
      </c>
      <c r="D384" s="0" t="n">
        <v>21.124</v>
      </c>
      <c r="E384" s="0" t="n">
        <v>26.854</v>
      </c>
      <c r="F384" s="0" t="n">
        <v>0.232</v>
      </c>
      <c r="G384" s="12" t="n">
        <f aca="false">(A384+(C384*D384*COS(RADIANS(E384))^2-F384*C384*D384)*TAN(RADIANS(B384)))/(C384*D384*SIN(RADIANS(E384))*COS(RADIANS(E384)))</f>
        <v>0.99268559534624</v>
      </c>
    </row>
    <row r="385" customFormat="false" ht="15" hidden="false" customHeight="false" outlineLevel="0" collapsed="false">
      <c r="A385" s="0" t="n">
        <v>11.547</v>
      </c>
      <c r="B385" s="0" t="n">
        <v>29.965</v>
      </c>
      <c r="C385" s="0" t="n">
        <v>20.723</v>
      </c>
      <c r="D385" s="0" t="n">
        <v>12.068</v>
      </c>
      <c r="E385" s="0" t="n">
        <v>25.992</v>
      </c>
      <c r="F385" s="0" t="n">
        <v>0.3305</v>
      </c>
      <c r="G385" s="12" t="n">
        <f aca="false">(A385+(C385*D385*COS(RADIANS(E385))^2-F385*C385*D385)*TAN(RADIANS(B385)))/(C385*D385*SIN(RADIANS(E385))*COS(RADIANS(E385)))</f>
        <v>0.815989481414374</v>
      </c>
    </row>
    <row r="386" customFormat="false" ht="15" hidden="false" customHeight="false" outlineLevel="0" collapsed="false">
      <c r="A386" s="0" t="n">
        <v>14.41</v>
      </c>
      <c r="B386" s="0" t="n">
        <v>32.895</v>
      </c>
      <c r="C386" s="0" t="n">
        <v>17.225</v>
      </c>
      <c r="D386" s="0" t="n">
        <v>17.461</v>
      </c>
      <c r="E386" s="0" t="n">
        <v>32.431</v>
      </c>
      <c r="F386" s="0" t="n">
        <v>0.0174</v>
      </c>
      <c r="G386" s="12" t="n">
        <f aca="false">(A386+(C386*D386*COS(RADIANS(E386))^2-F386*C386*D386)*TAN(RADIANS(B386)))/(C386*D386*SIN(RADIANS(E386))*COS(RADIANS(E386)))</f>
        <v>1.09896753758949</v>
      </c>
    </row>
    <row r="387" customFormat="false" ht="15" hidden="false" customHeight="false" outlineLevel="0" collapsed="false">
      <c r="A387" s="0" t="n">
        <v>14.39</v>
      </c>
      <c r="B387" s="0" t="n">
        <v>35.459</v>
      </c>
      <c r="C387" s="0" t="n">
        <v>19.275</v>
      </c>
      <c r="D387" s="0" t="n">
        <v>18.112</v>
      </c>
      <c r="E387" s="0" t="n">
        <v>30.159</v>
      </c>
      <c r="F387" s="0" t="n">
        <v>0.0571</v>
      </c>
      <c r="G387" s="12" t="n">
        <f aca="false">(A387+(C387*D387*COS(RADIANS(E387))^2-F387*C387*D387)*TAN(RADIANS(B387)))/(C387*D387*SIN(RADIANS(E387))*COS(RADIANS(E387)))</f>
        <v>1.22699310038176</v>
      </c>
    </row>
    <row r="388" customFormat="false" ht="15" hidden="false" customHeight="false" outlineLevel="0" collapsed="false">
      <c r="A388" s="0" t="n">
        <v>16.534</v>
      </c>
      <c r="B388" s="0" t="n">
        <v>37.481</v>
      </c>
      <c r="C388" s="0" t="n">
        <v>19.956</v>
      </c>
      <c r="D388" s="0" t="n">
        <v>19.812</v>
      </c>
      <c r="E388" s="0" t="n">
        <v>29.285</v>
      </c>
      <c r="F388" s="0" t="n">
        <v>0.0957</v>
      </c>
      <c r="G388" s="12" t="n">
        <f aca="false">(A388+(C388*D388*COS(RADIANS(E388))^2-F388*C388*D388)*TAN(RADIANS(B388)))/(C388*D388*SIN(RADIANS(E388))*COS(RADIANS(E388)))</f>
        <v>1.29327872488038</v>
      </c>
    </row>
    <row r="389" customFormat="false" ht="15" hidden="false" customHeight="false" outlineLevel="0" collapsed="false">
      <c r="A389" s="0" t="n">
        <v>18.999</v>
      </c>
      <c r="B389" s="0" t="n">
        <v>29.003</v>
      </c>
      <c r="C389" s="0" t="n">
        <v>18.546</v>
      </c>
      <c r="D389" s="0" t="n">
        <v>17.37</v>
      </c>
      <c r="E389" s="0" t="n">
        <v>29.325</v>
      </c>
      <c r="F389" s="0" t="n">
        <v>0.2774</v>
      </c>
      <c r="G389" s="12" t="n">
        <f aca="false">(A389+(C389*D389*COS(RADIANS(E389))^2-F389*C389*D389)*TAN(RADIANS(B389)))/(C389*D389*SIN(RADIANS(E389))*COS(RADIANS(E389)))</f>
        <v>0.764849367603815</v>
      </c>
    </row>
    <row r="390" customFormat="false" ht="15" hidden="false" customHeight="false" outlineLevel="0" collapsed="false">
      <c r="A390" s="0" t="n">
        <v>10.766</v>
      </c>
      <c r="B390" s="0" t="n">
        <v>33.49</v>
      </c>
      <c r="C390" s="0" t="n">
        <v>20.306</v>
      </c>
      <c r="D390" s="0" t="n">
        <v>13.721</v>
      </c>
      <c r="E390" s="0" t="n">
        <v>24.947</v>
      </c>
      <c r="F390" s="0" t="n">
        <v>0.1533</v>
      </c>
      <c r="G390" s="12" t="n">
        <f aca="false">(A390+(C390*D390*COS(RADIANS(E390))^2-F390*C390*D390)*TAN(RADIANS(B390)))/(C390*D390*SIN(RADIANS(E390))*COS(RADIANS(E390)))</f>
        <v>1.25813062072035</v>
      </c>
    </row>
    <row r="391" customFormat="false" ht="15" hidden="false" customHeight="false" outlineLevel="0" collapsed="false">
      <c r="A391" s="0" t="n">
        <v>14.5</v>
      </c>
      <c r="B391" s="0" t="n">
        <v>35.632</v>
      </c>
      <c r="C391" s="0" t="n">
        <v>18.898</v>
      </c>
      <c r="D391" s="0" t="n">
        <v>11.651</v>
      </c>
      <c r="E391" s="0" t="n">
        <v>30.849</v>
      </c>
      <c r="F391" s="0" t="n">
        <v>0.202</v>
      </c>
      <c r="G391" s="12" t="n">
        <f aca="false">(A391+(C391*D391*COS(RADIANS(E391))^2-F391*C391*D391)*TAN(RADIANS(B391)))/(C391*D391*SIN(RADIANS(E391))*COS(RADIANS(E391)))</f>
        <v>1.02076587507572</v>
      </c>
    </row>
    <row r="392" customFormat="false" ht="15" hidden="false" customHeight="false" outlineLevel="0" collapsed="false">
      <c r="A392" s="0" t="n">
        <v>20.926</v>
      </c>
      <c r="B392" s="0" t="n">
        <v>35.359</v>
      </c>
      <c r="C392" s="0" t="n">
        <v>19.468</v>
      </c>
      <c r="D392" s="0" t="n">
        <v>20.035</v>
      </c>
      <c r="E392" s="0" t="n">
        <v>24.861</v>
      </c>
      <c r="F392" s="0" t="n">
        <v>0.0906</v>
      </c>
      <c r="G392" s="12" t="n">
        <f aca="false">(A392+(C392*D392*COS(RADIANS(E392))^2-F392*C392*D392)*TAN(RADIANS(B392)))/(C392*D392*SIN(RADIANS(E392))*COS(RADIANS(E392)))</f>
        <v>1.50351479546952</v>
      </c>
    </row>
    <row r="393" customFormat="false" ht="15" hidden="false" customHeight="false" outlineLevel="0" collapsed="false">
      <c r="A393" s="0" t="n">
        <v>12.026</v>
      </c>
      <c r="B393" s="0" t="n">
        <v>35.152</v>
      </c>
      <c r="C393" s="0" t="n">
        <v>19.509</v>
      </c>
      <c r="D393" s="0" t="n">
        <v>13.71</v>
      </c>
      <c r="E393" s="0" t="n">
        <v>31.393</v>
      </c>
      <c r="F393" s="0" t="n">
        <v>0.0546</v>
      </c>
      <c r="G393" s="12" t="n">
        <f aca="false">(A393+(C393*D393*COS(RADIANS(E393))^2-F393*C393*D393)*TAN(RADIANS(B393)))/(C393*D393*SIN(RADIANS(E393))*COS(RADIANS(E393)))</f>
        <v>1.16858145283131</v>
      </c>
    </row>
    <row r="394" customFormat="false" ht="15" hidden="false" customHeight="false" outlineLevel="0" collapsed="false">
      <c r="A394" s="0" t="n">
        <v>11.711</v>
      </c>
      <c r="B394" s="0" t="n">
        <v>33.416</v>
      </c>
      <c r="C394" s="0" t="n">
        <v>21.861</v>
      </c>
      <c r="D394" s="0" t="n">
        <v>16.177</v>
      </c>
      <c r="E394" s="0" t="n">
        <v>27.627</v>
      </c>
      <c r="F394" s="0" t="n">
        <v>0.0433</v>
      </c>
      <c r="G394" s="12" t="n">
        <f aca="false">(A394+(C394*D394*COS(RADIANS(E394))^2-F394*C394*D394)*TAN(RADIANS(B394)))/(C394*D394*SIN(RADIANS(E394))*COS(RADIANS(E394)))</f>
        <v>1.27166072412468</v>
      </c>
    </row>
    <row r="395" customFormat="false" ht="15" hidden="false" customHeight="false" outlineLevel="0" collapsed="false">
      <c r="A395" s="0" t="n">
        <v>15.809</v>
      </c>
      <c r="B395" s="0" t="n">
        <v>32.657</v>
      </c>
      <c r="C395" s="0" t="n">
        <v>19.54</v>
      </c>
      <c r="D395" s="0" t="n">
        <v>17.966</v>
      </c>
      <c r="E395" s="0" t="n">
        <v>27.737</v>
      </c>
      <c r="F395" s="0" t="n">
        <v>0.2464</v>
      </c>
      <c r="G395" s="12" t="n">
        <f aca="false">(A395+(C395*D395*COS(RADIANS(E395))^2-F395*C395*D395)*TAN(RADIANS(B395)))/(C395*D395*SIN(RADIANS(E395))*COS(RADIANS(E395)))</f>
        <v>0.944823467376631</v>
      </c>
    </row>
    <row r="396" customFormat="false" ht="15" hidden="false" customHeight="false" outlineLevel="0" collapsed="false">
      <c r="A396" s="0" t="n">
        <v>18.378</v>
      </c>
      <c r="B396" s="0" t="n">
        <v>36.334</v>
      </c>
      <c r="C396" s="0" t="n">
        <v>20.596</v>
      </c>
      <c r="D396" s="0" t="n">
        <v>13.248</v>
      </c>
      <c r="E396" s="0" t="n">
        <v>27.715</v>
      </c>
      <c r="F396" s="0" t="n">
        <v>0.0984</v>
      </c>
      <c r="G396" s="12" t="n">
        <f aca="false">(A396+(C396*D396*COS(RADIANS(E396))^2-F396*C396*D396)*TAN(RADIANS(B396)))/(C396*D396*SIN(RADIANS(E396))*COS(RADIANS(E396)))</f>
        <v>1.38781852567071</v>
      </c>
    </row>
    <row r="397" customFormat="false" ht="15" hidden="false" customHeight="false" outlineLevel="0" collapsed="false">
      <c r="A397" s="0" t="n">
        <v>15.046</v>
      </c>
      <c r="B397" s="0" t="n">
        <v>35.679</v>
      </c>
      <c r="C397" s="0" t="n">
        <v>18.431</v>
      </c>
      <c r="D397" s="0" t="n">
        <v>9.932</v>
      </c>
      <c r="E397" s="0" t="n">
        <v>28.433</v>
      </c>
      <c r="F397" s="0" t="n">
        <v>0.16</v>
      </c>
      <c r="G397" s="12" t="n">
        <f aca="false">(A397+(C397*D397*COS(RADIANS(E397))^2-F397*C397*D397)*TAN(RADIANS(B397)))/(C397*D397*SIN(RADIANS(E397))*COS(RADIANS(E397)))</f>
        <v>1.24804435272047</v>
      </c>
    </row>
    <row r="398" customFormat="false" ht="15" hidden="false" customHeight="false" outlineLevel="0" collapsed="false">
      <c r="A398" s="0" t="n">
        <v>20.316</v>
      </c>
      <c r="B398" s="0" t="n">
        <v>34.766</v>
      </c>
      <c r="C398" s="0" t="n">
        <v>21.591</v>
      </c>
      <c r="D398" s="0" t="n">
        <v>14.392</v>
      </c>
      <c r="E398" s="0" t="n">
        <v>28.432</v>
      </c>
      <c r="F398" s="0" t="n">
        <v>0.1572</v>
      </c>
      <c r="G398" s="12" t="n">
        <f aca="false">(A398+(C398*D398*COS(RADIANS(E398))^2-F398*C398*D398)*TAN(RADIANS(B398)))/(C398*D398*SIN(RADIANS(E398))*COS(RADIANS(E398)))</f>
        <v>1.17760410733454</v>
      </c>
    </row>
    <row r="399" customFormat="false" ht="15" hidden="false" customHeight="false" outlineLevel="0" collapsed="false">
      <c r="A399" s="0" t="n">
        <v>18.427</v>
      </c>
      <c r="B399" s="0" t="n">
        <v>40.992</v>
      </c>
      <c r="C399" s="0" t="n">
        <v>19.255</v>
      </c>
      <c r="D399" s="0" t="n">
        <v>15.523</v>
      </c>
      <c r="E399" s="0" t="n">
        <v>26.973</v>
      </c>
      <c r="F399" s="0" t="n">
        <v>0.2411</v>
      </c>
      <c r="G399" s="12" t="n">
        <f aca="false">(A399+(C399*D399*COS(RADIANS(E399))^2-F399*C399*D399)*TAN(RADIANS(B399)))/(C399*D399*SIN(RADIANS(E399))*COS(RADIANS(E399)))</f>
        <v>1.34175978500299</v>
      </c>
    </row>
    <row r="400" customFormat="false" ht="15" hidden="false" customHeight="false" outlineLevel="0" collapsed="false">
      <c r="A400" s="0" t="n">
        <v>18.367</v>
      </c>
      <c r="B400" s="0" t="n">
        <v>38.641</v>
      </c>
      <c r="C400" s="0" t="n">
        <v>19.309</v>
      </c>
      <c r="D400" s="0" t="n">
        <v>16.13</v>
      </c>
      <c r="E400" s="0" t="n">
        <v>26.347</v>
      </c>
      <c r="F400" s="0" t="n">
        <v>0.3422</v>
      </c>
      <c r="G400" s="12" t="n">
        <f aca="false">(A400+(C400*D400*COS(RADIANS(E400))^2-F400*C400*D400)*TAN(RADIANS(B400)))/(C400*D400*SIN(RADIANS(E400))*COS(RADIANS(E400)))</f>
        <v>1.07464678482643</v>
      </c>
    </row>
    <row r="401" customFormat="false" ht="15" hidden="false" customHeight="false" outlineLevel="0" collapsed="false">
      <c r="A401" s="0" t="n">
        <v>17.216</v>
      </c>
      <c r="B401" s="0" t="n">
        <v>36.47</v>
      </c>
      <c r="C401" s="0" t="n">
        <v>19.496</v>
      </c>
      <c r="D401" s="0" t="n">
        <v>13.686</v>
      </c>
      <c r="E401" s="0" t="n">
        <v>29.002</v>
      </c>
      <c r="F401" s="0" t="n">
        <v>0.1948</v>
      </c>
      <c r="G401" s="12" t="n">
        <f aca="false">(A401+(C401*D401*COS(RADIANS(E401))^2-F401*C401*D401)*TAN(RADIANS(B401)))/(C401*D401*SIN(RADIANS(E401))*COS(RADIANS(E401)))</f>
        <v>1.14595716039598</v>
      </c>
    </row>
    <row r="402" customFormat="false" ht="15" hidden="false" customHeight="false" outlineLevel="0" collapsed="false">
      <c r="A402" s="0" t="n">
        <v>24.311</v>
      </c>
      <c r="B402" s="0" t="n">
        <v>37.77</v>
      </c>
      <c r="C402" s="0" t="n">
        <v>19.156</v>
      </c>
      <c r="D402" s="0" t="n">
        <v>13.857</v>
      </c>
      <c r="E402" s="0" t="n">
        <v>29.554</v>
      </c>
      <c r="F402" s="0" t="n">
        <v>0.225</v>
      </c>
      <c r="G402" s="12" t="n">
        <f aca="false">(A402+(C402*D402*COS(RADIANS(E402))^2-F402*C402*D402)*TAN(RADIANS(B402)))/(C402*D402*SIN(RADIANS(E402))*COS(RADIANS(E402)))</f>
        <v>1.17365303513976</v>
      </c>
    </row>
    <row r="403" customFormat="false" ht="15" hidden="false" customHeight="false" outlineLevel="0" collapsed="false">
      <c r="A403" s="0" t="n">
        <v>14.179</v>
      </c>
      <c r="B403" s="0" t="n">
        <v>36.939</v>
      </c>
      <c r="C403" s="0" t="n">
        <v>18.963</v>
      </c>
      <c r="D403" s="0" t="n">
        <v>12.736</v>
      </c>
      <c r="E403" s="0" t="n">
        <v>25.16</v>
      </c>
      <c r="F403" s="0" t="n">
        <v>0.129</v>
      </c>
      <c r="G403" s="12" t="n">
        <f aca="false">(A403+(C403*D403*COS(RADIANS(E403))^2-F403*C403*D403)*TAN(RADIANS(B403)))/(C403*D403*SIN(RADIANS(E403))*COS(RADIANS(E403)))</f>
        <v>1.50125097708383</v>
      </c>
    </row>
    <row r="404" customFormat="false" ht="15" hidden="false" customHeight="false" outlineLevel="0" collapsed="false">
      <c r="A404" s="0" t="n">
        <v>6.986</v>
      </c>
      <c r="B404" s="0" t="n">
        <v>34.176</v>
      </c>
      <c r="C404" s="0" t="n">
        <v>21.125</v>
      </c>
      <c r="D404" s="0" t="n">
        <v>16.984</v>
      </c>
      <c r="E404" s="0" t="n">
        <v>27.933</v>
      </c>
      <c r="F404" s="0" t="n">
        <v>0.2174</v>
      </c>
      <c r="G404" s="12" t="n">
        <f aca="false">(A404+(C404*D404*COS(RADIANS(E404))^2-F404*C404*D404)*TAN(RADIANS(B404)))/(C404*D404*SIN(RADIANS(E404))*COS(RADIANS(E404)))</f>
        <v>0.970979084735021</v>
      </c>
    </row>
    <row r="405" customFormat="false" ht="15" hidden="false" customHeight="false" outlineLevel="0" collapsed="false">
      <c r="A405" s="0" t="n">
        <v>21.417</v>
      </c>
      <c r="B405" s="0" t="n">
        <v>31.659</v>
      </c>
      <c r="C405" s="0" t="n">
        <v>19.768</v>
      </c>
      <c r="D405" s="0" t="n">
        <v>15.968</v>
      </c>
      <c r="E405" s="0" t="n">
        <v>29.332</v>
      </c>
      <c r="F405" s="0" t="n">
        <v>0.2225</v>
      </c>
      <c r="G405" s="12" t="n">
        <f aca="false">(A405+(C405*D405*COS(RADIANS(E405))^2-F405*C405*D405)*TAN(RADIANS(B405)))/(C405*D405*SIN(RADIANS(E405))*COS(RADIANS(E405)))</f>
        <v>0.934989155422681</v>
      </c>
    </row>
    <row r="406" customFormat="false" ht="15" hidden="false" customHeight="false" outlineLevel="0" collapsed="false">
      <c r="A406" s="0" t="n">
        <v>13.169</v>
      </c>
      <c r="B406" s="0" t="n">
        <v>37.891</v>
      </c>
      <c r="C406" s="0" t="n">
        <v>19.291</v>
      </c>
      <c r="D406" s="0" t="n">
        <v>9.907</v>
      </c>
      <c r="E406" s="0" t="n">
        <v>27.476</v>
      </c>
      <c r="F406" s="0" t="n">
        <v>0.0787</v>
      </c>
      <c r="G406" s="12" t="n">
        <f aca="false">(A406+(C406*D406*COS(RADIANS(E406))^2-F406*C406*D406)*TAN(RADIANS(B406)))/(C406*D406*SIN(RADIANS(E406))*COS(RADIANS(E406)))</f>
        <v>1.51520113930436</v>
      </c>
    </row>
    <row r="407" customFormat="false" ht="15" hidden="false" customHeight="false" outlineLevel="0" collapsed="false">
      <c r="A407" s="0" t="n">
        <v>15.432</v>
      </c>
      <c r="B407" s="0" t="n">
        <v>34.956</v>
      </c>
      <c r="C407" s="0" t="n">
        <v>21.707</v>
      </c>
      <c r="D407" s="0" t="n">
        <v>7.728</v>
      </c>
      <c r="E407" s="0" t="n">
        <v>25.422</v>
      </c>
      <c r="F407" s="0" t="n">
        <v>0.0692</v>
      </c>
      <c r="G407" s="12" t="n">
        <f aca="false">(A407+(C407*D407*COS(RADIANS(E407))^2-F407*C407*D407)*TAN(RADIANS(B407)))/(C407*D407*SIN(RADIANS(E407))*COS(RADIANS(E407)))</f>
        <v>1.58326692870141</v>
      </c>
    </row>
    <row r="408" customFormat="false" ht="15" hidden="false" customHeight="false" outlineLevel="0" collapsed="false">
      <c r="A408" s="0" t="n">
        <v>20.238</v>
      </c>
      <c r="B408" s="0" t="n">
        <v>37.7</v>
      </c>
      <c r="C408" s="0" t="n">
        <v>18.915</v>
      </c>
      <c r="D408" s="0" t="n">
        <v>15.111</v>
      </c>
      <c r="E408" s="0" t="n">
        <v>24.373</v>
      </c>
      <c r="F408" s="0" t="n">
        <v>0.1136</v>
      </c>
      <c r="G408" s="12" t="n">
        <f aca="false">(A408+(C408*D408*COS(RADIANS(E408))^2-F408*C408*D408)*TAN(RADIANS(B408)))/(C408*D408*SIN(RADIANS(E408))*COS(RADIANS(E408)))</f>
        <v>1.6607479634943</v>
      </c>
    </row>
    <row r="409" customFormat="false" ht="15" hidden="false" customHeight="false" outlineLevel="0" collapsed="false">
      <c r="A409" s="0" t="n">
        <v>8.591</v>
      </c>
      <c r="B409" s="0" t="n">
        <v>37.455</v>
      </c>
      <c r="C409" s="0" t="n">
        <v>20.158</v>
      </c>
      <c r="D409" s="0" t="n">
        <v>17.071</v>
      </c>
      <c r="E409" s="0" t="n">
        <v>26.803</v>
      </c>
      <c r="F409" s="0" t="n">
        <v>0.1316</v>
      </c>
      <c r="G409" s="12" t="n">
        <f aca="false">(A409+(C409*D409*COS(RADIANS(E409))^2-F409*C409*D409)*TAN(RADIANS(B409)))/(C409*D409*SIN(RADIANS(E409))*COS(RADIANS(E409)))</f>
        <v>1.32792367727957</v>
      </c>
    </row>
    <row r="410" customFormat="false" ht="15" hidden="false" customHeight="false" outlineLevel="0" collapsed="false">
      <c r="A410" s="0" t="n">
        <v>9.993</v>
      </c>
      <c r="B410" s="0" t="n">
        <v>30.498</v>
      </c>
      <c r="C410" s="0" t="n">
        <v>17.985</v>
      </c>
      <c r="D410" s="0" t="n">
        <v>17.258</v>
      </c>
      <c r="E410" s="0" t="n">
        <v>29.762</v>
      </c>
      <c r="F410" s="0" t="n">
        <v>0.2106</v>
      </c>
      <c r="G410" s="12" t="n">
        <f aca="false">(A410+(C410*D410*COS(RADIANS(E410))^2-F410*C410*D410)*TAN(RADIANS(B410)))/(C410*D410*SIN(RADIANS(E410))*COS(RADIANS(E410)))</f>
        <v>0.816889576971998</v>
      </c>
    </row>
    <row r="411" customFormat="false" ht="15" hidden="false" customHeight="false" outlineLevel="0" collapsed="false">
      <c r="A411" s="0" t="n">
        <v>8.595</v>
      </c>
      <c r="B411" s="0" t="n">
        <v>36.883</v>
      </c>
      <c r="C411" s="0" t="n">
        <v>18.75</v>
      </c>
      <c r="D411" s="0" t="n">
        <v>17.303</v>
      </c>
      <c r="E411" s="0" t="n">
        <v>26.094</v>
      </c>
      <c r="F411" s="0" t="n">
        <v>0.3106</v>
      </c>
      <c r="G411" s="12" t="n">
        <f aca="false">(A411+(C411*D411*COS(RADIANS(E411))^2-F411*C411*D411)*TAN(RADIANS(B411)))/(C411*D411*SIN(RADIANS(E411))*COS(RADIANS(E411)))</f>
        <v>1.00913547544891</v>
      </c>
    </row>
    <row r="412" customFormat="false" ht="15" hidden="false" customHeight="false" outlineLevel="0" collapsed="false">
      <c r="A412" s="0" t="n">
        <v>11.823</v>
      </c>
      <c r="B412" s="0" t="n">
        <v>40.201</v>
      </c>
      <c r="C412" s="0" t="n">
        <v>20.114</v>
      </c>
      <c r="D412" s="0" t="n">
        <v>16.938</v>
      </c>
      <c r="E412" s="0" t="n">
        <v>28.515</v>
      </c>
      <c r="F412" s="0" t="n">
        <v>0.0695</v>
      </c>
      <c r="G412" s="12" t="n">
        <f aca="false">(A412+(C412*D412*COS(RADIANS(E412))^2-F412*C412*D412)*TAN(RADIANS(B412)))/(C412*D412*SIN(RADIANS(E412))*COS(RADIANS(E412)))</f>
        <v>1.49821271230992</v>
      </c>
    </row>
    <row r="413" customFormat="false" ht="15" hidden="false" customHeight="false" outlineLevel="0" collapsed="false">
      <c r="A413" s="0" t="n">
        <v>16.759</v>
      </c>
      <c r="B413" s="0" t="n">
        <v>34.465</v>
      </c>
      <c r="C413" s="0" t="n">
        <v>20.573</v>
      </c>
      <c r="D413" s="0" t="n">
        <v>12.423</v>
      </c>
      <c r="E413" s="0" t="n">
        <v>28.872</v>
      </c>
      <c r="F413" s="0" t="n">
        <v>0.2288</v>
      </c>
      <c r="G413" s="12" t="n">
        <f aca="false">(A413+(C413*D413*COS(RADIANS(E413))^2-F413*C413*D413)*TAN(RADIANS(B413)))/(C413*D413*SIN(RADIANS(E413))*COS(RADIANS(E413)))</f>
        <v>1.02848793110723</v>
      </c>
    </row>
    <row r="414" customFormat="false" ht="15" hidden="false" customHeight="false" outlineLevel="0" collapsed="false">
      <c r="A414" s="0" t="n">
        <v>17.097</v>
      </c>
      <c r="B414" s="0" t="n">
        <v>36.043</v>
      </c>
      <c r="C414" s="0" t="n">
        <v>19.527</v>
      </c>
      <c r="D414" s="0" t="n">
        <v>9.406</v>
      </c>
      <c r="E414" s="0" t="n">
        <v>26.47</v>
      </c>
      <c r="F414" s="0" t="n">
        <v>0.1507</v>
      </c>
      <c r="G414" s="12" t="n">
        <f aca="false">(A414+(C414*D414*COS(RADIANS(E414))^2-F414*C414*D414)*TAN(RADIANS(B414)))/(C414*D414*SIN(RADIANS(E414))*COS(RADIANS(E414)))</f>
        <v>1.41988732312515</v>
      </c>
    </row>
    <row r="415" customFormat="false" ht="15" hidden="false" customHeight="false" outlineLevel="0" collapsed="false">
      <c r="A415" s="0" t="n">
        <v>16.105</v>
      </c>
      <c r="B415" s="0" t="n">
        <v>38.122</v>
      </c>
      <c r="C415" s="0" t="n">
        <v>21.807</v>
      </c>
      <c r="D415" s="0" t="n">
        <v>18.482</v>
      </c>
      <c r="E415" s="0" t="n">
        <v>28.626</v>
      </c>
      <c r="F415" s="0" t="n">
        <v>0.0576</v>
      </c>
      <c r="G415" s="12" t="n">
        <f aca="false">(A415+(C415*D415*COS(RADIANS(E415))^2-F415*C415*D415)*TAN(RADIANS(B415)))/(C415*D415*SIN(RADIANS(E415))*COS(RADIANS(E415)))</f>
        <v>1.42526393367416</v>
      </c>
    </row>
    <row r="416" customFormat="false" ht="15" hidden="false" customHeight="false" outlineLevel="0" collapsed="false">
      <c r="A416" s="0" t="n">
        <v>9.349</v>
      </c>
      <c r="B416" s="0" t="n">
        <v>30.612</v>
      </c>
      <c r="C416" s="0" t="n">
        <v>18.873</v>
      </c>
      <c r="D416" s="0" t="n">
        <v>16.563</v>
      </c>
      <c r="E416" s="0" t="n">
        <v>30.338</v>
      </c>
      <c r="F416" s="0" t="n">
        <v>0.0017</v>
      </c>
      <c r="G416" s="12" t="n">
        <f aca="false">(A416+(C416*D416*COS(RADIANS(E416))^2-F416*C416*D416)*TAN(RADIANS(B416)))/(C416*D416*SIN(RADIANS(E416))*COS(RADIANS(E416)))</f>
        <v>1.07730023608217</v>
      </c>
    </row>
    <row r="417" customFormat="false" ht="15" hidden="false" customHeight="false" outlineLevel="0" collapsed="false">
      <c r="A417" s="0" t="n">
        <v>5.76</v>
      </c>
      <c r="B417" s="0" t="n">
        <v>28.895</v>
      </c>
      <c r="C417" s="0" t="n">
        <v>19.282</v>
      </c>
      <c r="D417" s="0" t="n">
        <v>12.523</v>
      </c>
      <c r="E417" s="0" t="n">
        <v>28.982</v>
      </c>
      <c r="F417" s="0" t="n">
        <v>0.2043</v>
      </c>
      <c r="G417" s="12" t="n">
        <f aca="false">(A417+(C417*D417*COS(RADIANS(E417))^2-F417*C417*D417)*TAN(RADIANS(B417)))/(C417*D417*SIN(RADIANS(E417))*COS(RADIANS(E417)))</f>
        <v>0.786674722232273</v>
      </c>
    </row>
    <row r="418" customFormat="false" ht="15" hidden="false" customHeight="false" outlineLevel="0" collapsed="false">
      <c r="A418" s="0" t="n">
        <v>15.217</v>
      </c>
      <c r="B418" s="0" t="n">
        <v>34.538</v>
      </c>
      <c r="C418" s="0" t="n">
        <v>19.199</v>
      </c>
      <c r="D418" s="0" t="n">
        <v>17.636</v>
      </c>
      <c r="E418" s="0" t="n">
        <v>24.202</v>
      </c>
      <c r="F418" s="0" t="n">
        <v>0</v>
      </c>
      <c r="G418" s="12" t="n">
        <f aca="false">(A418+(C418*D418*COS(RADIANS(E418))^2-F418*C418*D418)*TAN(RADIANS(B418)))/(C418*D418*SIN(RADIANS(E418))*COS(RADIANS(E418)))</f>
        <v>1.65149053711268</v>
      </c>
    </row>
    <row r="419" customFormat="false" ht="15" hidden="false" customHeight="false" outlineLevel="0" collapsed="false">
      <c r="A419" s="0" t="n">
        <v>13.113</v>
      </c>
      <c r="B419" s="0" t="n">
        <v>30.304</v>
      </c>
      <c r="C419" s="0" t="n">
        <v>19.928</v>
      </c>
      <c r="D419" s="0" t="n">
        <v>15</v>
      </c>
      <c r="E419" s="0" t="n">
        <v>27.412</v>
      </c>
      <c r="F419" s="0" t="n">
        <v>0.2696</v>
      </c>
      <c r="G419" s="12" t="n">
        <f aca="false">(A419+(C419*D419*COS(RADIANS(E419))^2-F419*C419*D419)*TAN(RADIANS(B419)))/(C419*D419*SIN(RADIANS(E419))*COS(RADIANS(E419)))</f>
        <v>0.84873279423323</v>
      </c>
    </row>
    <row r="420" customFormat="false" ht="15" hidden="false" customHeight="false" outlineLevel="0" collapsed="false">
      <c r="A420" s="0" t="n">
        <v>16.838</v>
      </c>
      <c r="B420" s="0" t="n">
        <v>39.041</v>
      </c>
      <c r="C420" s="0" t="n">
        <v>21.572</v>
      </c>
      <c r="D420" s="0" t="n">
        <v>16.358</v>
      </c>
      <c r="E420" s="0" t="n">
        <v>26.237</v>
      </c>
      <c r="F420" s="0" t="n">
        <v>0.132</v>
      </c>
      <c r="G420" s="12" t="n">
        <f aca="false">(A420+(C420*D420*COS(RADIANS(E420))^2-F420*C420*D420)*TAN(RADIANS(B420)))/(C420*D420*SIN(RADIANS(E420))*COS(RADIANS(E420)))</f>
        <v>1.4958014797198</v>
      </c>
    </row>
    <row r="421" customFormat="false" ht="15" hidden="false" customHeight="false" outlineLevel="0" collapsed="false">
      <c r="A421" s="0" t="n">
        <v>17.808</v>
      </c>
      <c r="B421" s="0" t="n">
        <v>37.586</v>
      </c>
      <c r="C421" s="0" t="n">
        <v>21.667</v>
      </c>
      <c r="D421" s="0" t="n">
        <v>17.835</v>
      </c>
      <c r="E421" s="0" t="n">
        <v>23.795</v>
      </c>
      <c r="F421" s="0" t="n">
        <v>0</v>
      </c>
      <c r="G421" s="12" t="n">
        <f aca="false">(A421+(C421*D421*COS(RADIANS(E421))^2-F421*C421*D421)*TAN(RADIANS(B421)))/(C421*D421*SIN(RADIANS(E421))*COS(RADIANS(E421)))</f>
        <v>1.87041870195636</v>
      </c>
    </row>
    <row r="422" customFormat="false" ht="15" hidden="false" customHeight="false" outlineLevel="0" collapsed="false">
      <c r="A422" s="0" t="n">
        <v>15.553</v>
      </c>
      <c r="B422" s="0" t="n">
        <v>38.906</v>
      </c>
      <c r="C422" s="0" t="n">
        <v>18.862</v>
      </c>
      <c r="D422" s="0" t="n">
        <v>9.226</v>
      </c>
      <c r="E422" s="0" t="n">
        <v>28.438</v>
      </c>
      <c r="F422" s="0" t="n">
        <v>0.1643</v>
      </c>
      <c r="G422" s="12" t="n">
        <f aca="false">(A422+(C422*D422*COS(RADIANS(E422))^2-F422*C422*D422)*TAN(RADIANS(B422)))/(C422*D422*SIN(RADIANS(E422))*COS(RADIANS(E422)))</f>
        <v>1.38705275529403</v>
      </c>
    </row>
    <row r="423" customFormat="false" ht="15" hidden="false" customHeight="false" outlineLevel="0" collapsed="false">
      <c r="A423" s="0" t="n">
        <v>18.041</v>
      </c>
      <c r="B423" s="0" t="n">
        <v>34.869</v>
      </c>
      <c r="C423" s="0" t="n">
        <v>18.886</v>
      </c>
      <c r="D423" s="0" t="n">
        <v>12.46</v>
      </c>
      <c r="E423" s="0" t="n">
        <v>27.292</v>
      </c>
      <c r="F423" s="0" t="n">
        <v>0.1663</v>
      </c>
      <c r="G423" s="12" t="n">
        <f aca="false">(A423+(C423*D423*COS(RADIANS(E423))^2-F423*C423*D423)*TAN(RADIANS(B423)))/(C423*D423*SIN(RADIANS(E423))*COS(RADIANS(E423)))</f>
        <v>1.25426698550513</v>
      </c>
    </row>
    <row r="424" customFormat="false" ht="15" hidden="false" customHeight="false" outlineLevel="0" collapsed="false">
      <c r="A424" s="0" t="n">
        <v>15.917</v>
      </c>
      <c r="B424" s="0" t="n">
        <v>38.367</v>
      </c>
      <c r="C424" s="0" t="n">
        <v>18.002</v>
      </c>
      <c r="D424" s="0" t="n">
        <v>18.88</v>
      </c>
      <c r="E424" s="0" t="n">
        <v>25.328</v>
      </c>
      <c r="F424" s="0" t="n">
        <v>0.2036</v>
      </c>
      <c r="G424" s="12" t="n">
        <f aca="false">(A424+(C424*D424*COS(RADIANS(E424))^2-F424*C424*D424)*TAN(RADIANS(B424)))/(C424*D424*SIN(RADIANS(E424))*COS(RADIANS(E424)))</f>
        <v>1.37691612892523</v>
      </c>
    </row>
    <row r="425" customFormat="false" ht="15" hidden="false" customHeight="false" outlineLevel="0" collapsed="false">
      <c r="A425" s="0" t="n">
        <v>17.12</v>
      </c>
      <c r="B425" s="0" t="n">
        <v>35.281</v>
      </c>
      <c r="C425" s="0" t="n">
        <v>20.671</v>
      </c>
      <c r="D425" s="0" t="n">
        <v>14.508</v>
      </c>
      <c r="E425" s="0" t="n">
        <v>30.515</v>
      </c>
      <c r="F425" s="0" t="n">
        <v>0.2088</v>
      </c>
      <c r="G425" s="12" t="n">
        <f aca="false">(A425+(C425*D425*COS(RADIANS(E425))^2-F425*C425*D425)*TAN(RADIANS(B425)))/(C425*D425*SIN(RADIANS(E425))*COS(RADIANS(E425)))</f>
        <v>0.993223229964165</v>
      </c>
    </row>
    <row r="426" customFormat="false" ht="15" hidden="false" customHeight="false" outlineLevel="0" collapsed="false">
      <c r="A426" s="0" t="n">
        <v>12.181</v>
      </c>
      <c r="B426" s="0" t="n">
        <v>36.204</v>
      </c>
      <c r="C426" s="0" t="n">
        <v>21.363</v>
      </c>
      <c r="D426" s="0" t="n">
        <v>14.708</v>
      </c>
      <c r="E426" s="0" t="n">
        <v>29.798</v>
      </c>
      <c r="F426" s="0" t="n">
        <v>0.1538</v>
      </c>
      <c r="G426" s="12" t="n">
        <f aca="false">(A426+(C426*D426*COS(RADIANS(E426))^2-F426*C426*D426)*TAN(RADIANS(B426)))/(C426*D426*SIN(RADIANS(E426))*COS(RADIANS(E426)))</f>
        <v>1.10707517809143</v>
      </c>
    </row>
    <row r="427" customFormat="false" ht="15" hidden="false" customHeight="false" outlineLevel="0" collapsed="false">
      <c r="A427" s="0" t="n">
        <v>14.282</v>
      </c>
      <c r="B427" s="0" t="n">
        <v>41.431</v>
      </c>
      <c r="C427" s="0" t="n">
        <v>19.803</v>
      </c>
      <c r="D427" s="0" t="n">
        <v>15.982</v>
      </c>
      <c r="E427" s="0" t="n">
        <v>27.841</v>
      </c>
      <c r="F427" s="0" t="n">
        <v>0.1362</v>
      </c>
      <c r="G427" s="12" t="n">
        <f aca="false">(A427+(C427*D427*COS(RADIANS(E427))^2-F427*C427*D427)*TAN(RADIANS(B427)))/(C427*D427*SIN(RADIANS(E427))*COS(RADIANS(E427)))</f>
        <v>1.48925087496257</v>
      </c>
    </row>
    <row r="428" customFormat="false" ht="15" hidden="false" customHeight="false" outlineLevel="0" collapsed="false">
      <c r="A428" s="0" t="n">
        <v>15.787</v>
      </c>
      <c r="B428" s="0" t="n">
        <v>31.237</v>
      </c>
      <c r="C428" s="0" t="n">
        <v>20.135</v>
      </c>
      <c r="D428" s="0" t="n">
        <v>15.397</v>
      </c>
      <c r="E428" s="0" t="n">
        <v>30.208</v>
      </c>
      <c r="F428" s="0" t="n">
        <v>0.123</v>
      </c>
      <c r="G428" s="12" t="n">
        <f aca="false">(A428+(C428*D428*COS(RADIANS(E428))^2-F428*C428*D428)*TAN(RADIANS(B428)))/(C428*D428*SIN(RADIANS(E428))*COS(RADIANS(E428)))</f>
        <v>0.987290904878553</v>
      </c>
    </row>
    <row r="429" customFormat="false" ht="15" hidden="false" customHeight="false" outlineLevel="0" collapsed="false">
      <c r="A429" s="0" t="n">
        <v>18.282</v>
      </c>
      <c r="B429" s="0" t="n">
        <v>40.213</v>
      </c>
      <c r="C429" s="0" t="n">
        <v>20.555</v>
      </c>
      <c r="D429" s="0" t="n">
        <v>17.693</v>
      </c>
      <c r="E429" s="0" t="n">
        <v>30.364</v>
      </c>
      <c r="F429" s="0" t="n">
        <v>0.2091</v>
      </c>
      <c r="G429" s="12" t="n">
        <f aca="false">(A429+(C429*D429*COS(RADIANS(E429))^2-F429*C429*D429)*TAN(RADIANS(B429)))/(C429*D429*SIN(RADIANS(E429))*COS(RADIANS(E429)))</f>
        <v>1.1530495550325</v>
      </c>
    </row>
    <row r="430" customFormat="false" ht="15" hidden="false" customHeight="false" outlineLevel="0" collapsed="false">
      <c r="A430" s="0" t="n">
        <v>13.425</v>
      </c>
      <c r="B430" s="0" t="n">
        <v>29.37</v>
      </c>
      <c r="C430" s="0" t="n">
        <v>18.789</v>
      </c>
      <c r="D430" s="0" t="n">
        <v>18.316</v>
      </c>
      <c r="E430" s="0" t="n">
        <v>33.165</v>
      </c>
      <c r="F430" s="0" t="n">
        <v>0.2161</v>
      </c>
      <c r="G430" s="12" t="n">
        <f aca="false">(A430+(C430*D430*COS(RADIANS(E430))^2-F430*C430*D430)*TAN(RADIANS(B430)))/(C430*D430*SIN(RADIANS(E430))*COS(RADIANS(E430)))</f>
        <v>0.680778819937993</v>
      </c>
    </row>
    <row r="431" customFormat="false" ht="15" hidden="false" customHeight="false" outlineLevel="0" collapsed="false">
      <c r="A431" s="0" t="n">
        <v>17.085</v>
      </c>
      <c r="B431" s="0" t="n">
        <v>34.955</v>
      </c>
      <c r="C431" s="0" t="n">
        <v>19.867</v>
      </c>
      <c r="D431" s="0" t="n">
        <v>13.615</v>
      </c>
      <c r="E431" s="0" t="n">
        <v>26.52</v>
      </c>
      <c r="F431" s="0" t="n">
        <v>0.0853</v>
      </c>
      <c r="G431" s="12" t="n">
        <f aca="false">(A431+(C431*D431*COS(RADIANS(E431))^2-F431*C431*D431)*TAN(RADIANS(B431)))/(C431*D431*SIN(RADIANS(E431))*COS(RADIANS(E431)))</f>
        <v>1.40967697658219</v>
      </c>
    </row>
    <row r="432" customFormat="false" ht="15" hidden="false" customHeight="false" outlineLevel="0" collapsed="false">
      <c r="A432" s="0" t="n">
        <v>13.937</v>
      </c>
      <c r="B432" s="0" t="n">
        <v>36.682</v>
      </c>
      <c r="C432" s="0" t="n">
        <v>18.634</v>
      </c>
      <c r="D432" s="0" t="n">
        <v>12.397</v>
      </c>
      <c r="E432" s="0" t="n">
        <v>24.66</v>
      </c>
      <c r="F432" s="0" t="n">
        <v>0.2191</v>
      </c>
      <c r="G432" s="12" t="n">
        <f aca="false">(A432+(C432*D432*COS(RADIANS(E432))^2-F432*C432*D432)*TAN(RADIANS(B432)))/(C432*D432*SIN(RADIANS(E432))*COS(RADIANS(E432)))</f>
        <v>1.3511825985171</v>
      </c>
    </row>
    <row r="433" customFormat="false" ht="15" hidden="false" customHeight="false" outlineLevel="0" collapsed="false">
      <c r="A433" s="0" t="n">
        <v>14.53</v>
      </c>
      <c r="B433" s="0" t="n">
        <v>33.524</v>
      </c>
      <c r="C433" s="0" t="n">
        <v>20.728</v>
      </c>
      <c r="D433" s="0" t="n">
        <v>10.455</v>
      </c>
      <c r="E433" s="0" t="n">
        <v>27.283</v>
      </c>
      <c r="F433" s="0" t="n">
        <v>0.1426</v>
      </c>
      <c r="G433" s="12" t="n">
        <f aca="false">(A433+(C433*D433*COS(RADIANS(E433))^2-F433*C433*D433)*TAN(RADIANS(B433)))/(C433*D433*SIN(RADIANS(E433))*COS(RADIANS(E433)))</f>
        <v>1.21716846568334</v>
      </c>
    </row>
    <row r="434" customFormat="false" ht="15" hidden="false" customHeight="false" outlineLevel="0" collapsed="false">
      <c r="A434" s="0" t="n">
        <v>18.318</v>
      </c>
      <c r="B434" s="0" t="n">
        <v>35.862</v>
      </c>
      <c r="C434" s="0" t="n">
        <v>19.905</v>
      </c>
      <c r="D434" s="0" t="n">
        <v>9.677</v>
      </c>
      <c r="E434" s="0" t="n">
        <v>27.408</v>
      </c>
      <c r="F434" s="0" t="n">
        <v>0.0868</v>
      </c>
      <c r="G434" s="12" t="n">
        <f aca="false">(A434+(C434*D434*COS(RADIANS(E434))^2-F434*C434*D434)*TAN(RADIANS(B434)))/(C434*D434*SIN(RADIANS(E434))*COS(RADIANS(E434)))</f>
        <v>1.4732510417</v>
      </c>
    </row>
    <row r="435" customFormat="false" ht="15" hidden="false" customHeight="false" outlineLevel="0" collapsed="false">
      <c r="A435" s="0" t="n">
        <v>7.028</v>
      </c>
      <c r="B435" s="0" t="n">
        <v>36.109</v>
      </c>
      <c r="C435" s="0" t="n">
        <v>19.638</v>
      </c>
      <c r="D435" s="0" t="n">
        <v>15.025</v>
      </c>
      <c r="E435" s="0" t="n">
        <v>32.227</v>
      </c>
      <c r="F435" s="0" t="n">
        <v>0.0816</v>
      </c>
      <c r="G435" s="12" t="n">
        <f aca="false">(A435+(C435*D435*COS(RADIANS(E435))^2-F435*C435*D435)*TAN(RADIANS(B435)))/(C435*D435*SIN(RADIANS(E435))*COS(RADIANS(E435)))</f>
        <v>1.07799577144223</v>
      </c>
    </row>
    <row r="436" customFormat="false" ht="15" hidden="false" customHeight="false" outlineLevel="0" collapsed="false">
      <c r="A436" s="0" t="n">
        <v>9.814</v>
      </c>
      <c r="B436" s="0" t="n">
        <v>36.863</v>
      </c>
      <c r="C436" s="0" t="n">
        <v>19.94</v>
      </c>
      <c r="D436" s="0" t="n">
        <v>12.896</v>
      </c>
      <c r="E436" s="0" t="n">
        <v>29.572</v>
      </c>
      <c r="F436" s="0" t="n">
        <v>0.1237</v>
      </c>
      <c r="G436" s="12" t="n">
        <f aca="false">(A436+(C436*D436*COS(RADIANS(E436))^2-F436*C436*D436)*TAN(RADIANS(B436)))/(C436*D436*SIN(RADIANS(E436))*COS(RADIANS(E436)))</f>
        <v>1.19423720055117</v>
      </c>
    </row>
    <row r="437" customFormat="false" ht="15" hidden="false" customHeight="false" outlineLevel="0" collapsed="false">
      <c r="A437" s="0" t="n">
        <v>9.071</v>
      </c>
      <c r="B437" s="0" t="n">
        <v>34.404</v>
      </c>
      <c r="C437" s="0" t="n">
        <v>19.409</v>
      </c>
      <c r="D437" s="0" t="n">
        <v>13.092</v>
      </c>
      <c r="E437" s="0" t="n">
        <v>24.736</v>
      </c>
      <c r="F437" s="0" t="n">
        <v>0.047</v>
      </c>
      <c r="G437" s="12" t="n">
        <f aca="false">(A437+(C437*D437*COS(RADIANS(E437))^2-F437*C437*D437)*TAN(RADIANS(B437)))/(C437*D437*SIN(RADIANS(E437))*COS(RADIANS(E437)))</f>
        <v>1.49567820224722</v>
      </c>
    </row>
    <row r="438" customFormat="false" ht="15" hidden="false" customHeight="false" outlineLevel="0" collapsed="false">
      <c r="A438" s="0" t="n">
        <v>5.666</v>
      </c>
      <c r="B438" s="0" t="n">
        <v>32.965</v>
      </c>
      <c r="C438" s="0" t="n">
        <v>20.046</v>
      </c>
      <c r="D438" s="0" t="n">
        <v>14.133</v>
      </c>
      <c r="E438" s="0" t="n">
        <v>25.841</v>
      </c>
      <c r="F438" s="0" t="n">
        <v>0.1932</v>
      </c>
      <c r="G438" s="12" t="n">
        <f aca="false">(A438+(C438*D438*COS(RADIANS(E438))^2-F438*C438*D438)*TAN(RADIANS(B438)))/(C438*D438*SIN(RADIANS(E438))*COS(RADIANS(E438)))</f>
        <v>1.07070237542573</v>
      </c>
    </row>
    <row r="439" customFormat="false" ht="15" hidden="false" customHeight="false" outlineLevel="0" collapsed="false">
      <c r="A439" s="0" t="n">
        <v>12.287</v>
      </c>
      <c r="B439" s="0" t="n">
        <v>35.567</v>
      </c>
      <c r="C439" s="0" t="n">
        <v>19.418</v>
      </c>
      <c r="D439" s="0" t="n">
        <v>10.062</v>
      </c>
      <c r="E439" s="0" t="n">
        <v>24.517</v>
      </c>
      <c r="F439" s="0" t="n">
        <v>0.1945</v>
      </c>
      <c r="G439" s="12" t="n">
        <f aca="false">(A439+(C439*D439*COS(RADIANS(E439))^2-F439*C439*D439)*TAN(RADIANS(B439)))/(C439*D439*SIN(RADIANS(E439))*COS(RADIANS(E439)))</f>
        <v>1.36601252924096</v>
      </c>
    </row>
    <row r="440" customFormat="false" ht="15" hidden="false" customHeight="false" outlineLevel="0" collapsed="false">
      <c r="A440" s="0" t="n">
        <v>17.998</v>
      </c>
      <c r="B440" s="0" t="n">
        <v>34.037</v>
      </c>
      <c r="C440" s="0" t="n">
        <v>21.186</v>
      </c>
      <c r="D440" s="0" t="n">
        <v>13.863</v>
      </c>
      <c r="E440" s="0" t="n">
        <v>27.74</v>
      </c>
      <c r="F440" s="0" t="n">
        <v>0.1883</v>
      </c>
      <c r="G440" s="12" t="n">
        <f aca="false">(A440+(C440*D440*COS(RADIANS(E440))^2-F440*C440*D440)*TAN(RADIANS(B440)))/(C440*D440*SIN(RADIANS(E440))*COS(RADIANS(E440)))</f>
        <v>1.12437791609985</v>
      </c>
    </row>
    <row r="441" customFormat="false" ht="15" hidden="false" customHeight="false" outlineLevel="0" collapsed="false">
      <c r="A441" s="0" t="n">
        <v>13.86</v>
      </c>
      <c r="B441" s="0" t="n">
        <v>35.088</v>
      </c>
      <c r="C441" s="0" t="n">
        <v>18.577</v>
      </c>
      <c r="D441" s="0" t="n">
        <v>19.489</v>
      </c>
      <c r="E441" s="0" t="n">
        <v>24.939</v>
      </c>
      <c r="F441" s="0" t="n">
        <v>0.2859</v>
      </c>
      <c r="G441" s="12" t="n">
        <f aca="false">(A441+(C441*D441*COS(RADIANS(E441))^2-F441*C441*D441)*TAN(RADIANS(B441)))/(C441*D441*SIN(RADIANS(E441))*COS(RADIANS(E441)))</f>
        <v>1.08553068027075</v>
      </c>
    </row>
    <row r="442" customFormat="false" ht="15" hidden="false" customHeight="false" outlineLevel="0" collapsed="false">
      <c r="A442" s="0" t="n">
        <v>15.791</v>
      </c>
      <c r="B442" s="0" t="n">
        <v>34.073</v>
      </c>
      <c r="C442" s="0" t="n">
        <v>21.601</v>
      </c>
      <c r="D442" s="0" t="n">
        <v>15.081</v>
      </c>
      <c r="E442" s="0" t="n">
        <v>29.93</v>
      </c>
      <c r="F442" s="0" t="n">
        <v>0.0545</v>
      </c>
      <c r="G442" s="12" t="n">
        <f aca="false">(A442+(C442*D442*COS(RADIANS(E442))^2-F442*C442*D442)*TAN(RADIANS(B442)))/(C442*D442*SIN(RADIANS(E442))*COS(RADIANS(E442)))</f>
        <v>1.20166321721503</v>
      </c>
    </row>
    <row r="443" customFormat="false" ht="15" hidden="false" customHeight="false" outlineLevel="0" collapsed="false">
      <c r="A443" s="0" t="n">
        <v>19.357</v>
      </c>
      <c r="B443" s="0" t="n">
        <v>35.602</v>
      </c>
      <c r="C443" s="0" t="n">
        <v>20.357</v>
      </c>
      <c r="D443" s="0" t="n">
        <v>15.858</v>
      </c>
      <c r="E443" s="0" t="n">
        <v>26.546</v>
      </c>
      <c r="F443" s="0" t="n">
        <v>0.1305</v>
      </c>
      <c r="G443" s="12" t="n">
        <f aca="false">(A443+(C443*D443*COS(RADIANS(E443))^2-F443*C443*D443)*TAN(RADIANS(B443)))/(C443*D443*SIN(RADIANS(E443))*COS(RADIANS(E443)))</f>
        <v>1.34942994980793</v>
      </c>
    </row>
    <row r="444" customFormat="false" ht="15" hidden="false" customHeight="false" outlineLevel="0" collapsed="false">
      <c r="A444" s="0" t="n">
        <v>20.311</v>
      </c>
      <c r="B444" s="0" t="n">
        <v>33.184</v>
      </c>
      <c r="C444" s="0" t="n">
        <v>20.682</v>
      </c>
      <c r="D444" s="0" t="n">
        <v>19.156</v>
      </c>
      <c r="E444" s="0" t="n">
        <v>25.279</v>
      </c>
      <c r="F444" s="0" t="n">
        <v>0.2496</v>
      </c>
      <c r="G444" s="12" t="n">
        <f aca="false">(A444+(C444*D444*COS(RADIANS(E444))^2-F444*C444*D444)*TAN(RADIANS(B444)))/(C444*D444*SIN(RADIANS(E444))*COS(RADIANS(E444)))</f>
        <v>1.09485417954004</v>
      </c>
    </row>
    <row r="445" customFormat="false" ht="15" hidden="false" customHeight="false" outlineLevel="0" collapsed="false">
      <c r="A445" s="0" t="n">
        <v>14.723</v>
      </c>
      <c r="B445" s="0" t="n">
        <v>33.567</v>
      </c>
      <c r="C445" s="0" t="n">
        <v>17.251</v>
      </c>
      <c r="D445" s="0" t="n">
        <v>17.569</v>
      </c>
      <c r="E445" s="0" t="n">
        <v>27.335</v>
      </c>
      <c r="F445" s="0" t="n">
        <v>0.2523</v>
      </c>
      <c r="G445" s="12" t="n">
        <f aca="false">(A445+(C445*D445*COS(RADIANS(E445))^2-F445*C445*D445)*TAN(RADIANS(B445)))/(C445*D445*SIN(RADIANS(E445))*COS(RADIANS(E445)))</f>
        <v>0.992380248825884</v>
      </c>
    </row>
    <row r="446" customFormat="false" ht="15" hidden="false" customHeight="false" outlineLevel="0" collapsed="false">
      <c r="A446" s="0" t="n">
        <v>20.414</v>
      </c>
      <c r="B446" s="0" t="n">
        <v>31.674</v>
      </c>
      <c r="C446" s="0" t="n">
        <v>19.85</v>
      </c>
      <c r="D446" s="0" t="n">
        <v>17.09</v>
      </c>
      <c r="E446" s="0" t="n">
        <v>27.321</v>
      </c>
      <c r="F446" s="0" t="n">
        <v>0.0964</v>
      </c>
      <c r="G446" s="12" t="n">
        <f aca="false">(A446+(C446*D446*COS(RADIANS(E446))^2-F446*C446*D446)*TAN(RADIANS(B446)))/(C446*D446*SIN(RADIANS(E446))*COS(RADIANS(E446)))</f>
        <v>1.19602786277416</v>
      </c>
    </row>
    <row r="447" customFormat="false" ht="15" hidden="false" customHeight="false" outlineLevel="0" collapsed="false">
      <c r="A447" s="0" t="n">
        <v>15.369</v>
      </c>
      <c r="B447" s="0" t="n">
        <v>35.471</v>
      </c>
      <c r="C447" s="0" t="n">
        <v>18.491</v>
      </c>
      <c r="D447" s="0" t="n">
        <v>16.013</v>
      </c>
      <c r="E447" s="0" t="n">
        <v>28.077</v>
      </c>
      <c r="F447" s="0" t="n">
        <v>0.1751</v>
      </c>
      <c r="G447" s="12" t="n">
        <f aca="false">(A447+(C447*D447*COS(RADIANS(E447))^2-F447*C447*D447)*TAN(RADIANS(B447)))/(C447*D447*SIN(RADIANS(E447))*COS(RADIANS(E447)))</f>
        <v>1.16029060957717</v>
      </c>
    </row>
    <row r="448" customFormat="false" ht="15" hidden="false" customHeight="false" outlineLevel="0" collapsed="false">
      <c r="A448" s="0" t="n">
        <v>11.65</v>
      </c>
      <c r="B448" s="0" t="n">
        <v>32.302</v>
      </c>
      <c r="C448" s="0" t="n">
        <v>20.086</v>
      </c>
      <c r="D448" s="0" t="n">
        <v>15.828</v>
      </c>
      <c r="E448" s="0" t="n">
        <v>28.711</v>
      </c>
      <c r="F448" s="0" t="n">
        <v>0.1751</v>
      </c>
      <c r="G448" s="12" t="n">
        <f aca="false">(A448+(C448*D448*COS(RADIANS(E448))^2-F448*C448*D448)*TAN(RADIANS(B448)))/(C448*D448*SIN(RADIANS(E448))*COS(RADIANS(E448)))</f>
        <v>0.978480252015216</v>
      </c>
    </row>
    <row r="449" customFormat="false" ht="15" hidden="false" customHeight="false" outlineLevel="0" collapsed="false">
      <c r="A449" s="0" t="n">
        <v>12.622</v>
      </c>
      <c r="B449" s="0" t="n">
        <v>35.929</v>
      </c>
      <c r="C449" s="0" t="n">
        <v>18.365</v>
      </c>
      <c r="D449" s="0" t="n">
        <v>14.477</v>
      </c>
      <c r="E449" s="0" t="n">
        <v>28.48</v>
      </c>
      <c r="F449" s="0" t="n">
        <v>0.0393</v>
      </c>
      <c r="G449" s="12" t="n">
        <f aca="false">(A449+(C449*D449*COS(RADIANS(E449))^2-F449*C449*D449)*TAN(RADIANS(B449)))/(C449*D449*SIN(RADIANS(E449))*COS(RADIANS(E449)))</f>
        <v>1.38107238479185</v>
      </c>
    </row>
    <row r="450" customFormat="false" ht="15" hidden="false" customHeight="false" outlineLevel="0" collapsed="false">
      <c r="A450" s="0" t="n">
        <v>9.078</v>
      </c>
      <c r="B450" s="0" t="n">
        <v>38.058</v>
      </c>
      <c r="C450" s="0" t="n">
        <v>21.091</v>
      </c>
      <c r="D450" s="0" t="n">
        <v>22.018</v>
      </c>
      <c r="E450" s="0" t="n">
        <v>25.512</v>
      </c>
      <c r="F450" s="0" t="n">
        <v>0.1696</v>
      </c>
      <c r="G450" s="12" t="n">
        <f aca="false">(A450+(C450*D450*COS(RADIANS(E450))^2-F450*C450*D450)*TAN(RADIANS(B450)))/(C450*D450*SIN(RADIANS(E450))*COS(RADIANS(E450)))</f>
        <v>1.34922403456504</v>
      </c>
    </row>
    <row r="451" customFormat="false" ht="15" hidden="false" customHeight="false" outlineLevel="0" collapsed="false">
      <c r="A451" s="0" t="n">
        <v>11.447</v>
      </c>
      <c r="B451" s="0" t="n">
        <v>39.702</v>
      </c>
      <c r="C451" s="0" t="n">
        <v>20.945</v>
      </c>
      <c r="D451" s="0" t="n">
        <v>15.556</v>
      </c>
      <c r="E451" s="0" t="n">
        <v>26.555</v>
      </c>
      <c r="F451" s="0" t="n">
        <v>0.0312</v>
      </c>
      <c r="G451" s="12" t="n">
        <f aca="false">(A451+(C451*D451*COS(RADIANS(E451))^2-F451*C451*D451)*TAN(RADIANS(B451)))/(C451*D451*SIN(RADIANS(E451))*COS(RADIANS(E451)))</f>
        <v>1.68435519422845</v>
      </c>
    </row>
    <row r="452" customFormat="false" ht="15" hidden="false" customHeight="false" outlineLevel="0" collapsed="false">
      <c r="A452" s="0" t="n">
        <v>13.568</v>
      </c>
      <c r="B452" s="0" t="n">
        <v>34.671</v>
      </c>
      <c r="C452" s="0" t="n">
        <v>20.198</v>
      </c>
      <c r="D452" s="0" t="n">
        <v>19.693</v>
      </c>
      <c r="E452" s="0" t="n">
        <v>27.975</v>
      </c>
      <c r="F452" s="0" t="n">
        <v>0.2412</v>
      </c>
      <c r="G452" s="12" t="n">
        <f aca="false">(A452+(C452*D452*COS(RADIANS(E452))^2-F452*C452*D452)*TAN(RADIANS(B452)))/(C452*D452*SIN(RADIANS(E452))*COS(RADIANS(E452)))</f>
        <v>0.981864549512827</v>
      </c>
    </row>
    <row r="453" customFormat="false" ht="15" hidden="false" customHeight="false" outlineLevel="0" collapsed="false">
      <c r="A453" s="0" t="n">
        <v>18.214</v>
      </c>
      <c r="B453" s="0" t="n">
        <v>43.318</v>
      </c>
      <c r="C453" s="0" t="n">
        <v>19.014</v>
      </c>
      <c r="D453" s="0" t="n">
        <v>17.253</v>
      </c>
      <c r="E453" s="0" t="n">
        <v>27.863</v>
      </c>
      <c r="F453" s="0" t="n">
        <v>0.0938</v>
      </c>
      <c r="G453" s="12" t="n">
        <f aca="false">(A453+(C453*D453*COS(RADIANS(E453))^2-F453*C453*D453)*TAN(RADIANS(B453)))/(C453*D453*SIN(RADIANS(E453))*COS(RADIANS(E453)))</f>
        <v>1.70400893632834</v>
      </c>
    </row>
    <row r="454" customFormat="false" ht="15" hidden="false" customHeight="false" outlineLevel="0" collapsed="false">
      <c r="A454" s="0" t="n">
        <v>21.883</v>
      </c>
      <c r="B454" s="0" t="n">
        <v>36.85</v>
      </c>
      <c r="C454" s="0" t="n">
        <v>20.189</v>
      </c>
      <c r="D454" s="0" t="n">
        <v>17.125</v>
      </c>
      <c r="E454" s="0" t="n">
        <v>29.865</v>
      </c>
      <c r="F454" s="0" t="n">
        <v>0.1448</v>
      </c>
      <c r="G454" s="12" t="n">
        <f aca="false">(A454+(C454*D454*COS(RADIANS(E454))^2-F454*C454*D454)*TAN(RADIANS(B454)))/(C454*D454*SIN(RADIANS(E454))*COS(RADIANS(E454)))</f>
        <v>1.20045613394946</v>
      </c>
    </row>
    <row r="455" customFormat="false" ht="15" hidden="false" customHeight="false" outlineLevel="0" collapsed="false">
      <c r="A455" s="0" t="n">
        <v>9.471</v>
      </c>
      <c r="B455" s="0" t="n">
        <v>35.383</v>
      </c>
      <c r="C455" s="0" t="n">
        <v>19.919</v>
      </c>
      <c r="D455" s="0" t="n">
        <v>17.126</v>
      </c>
      <c r="E455" s="0" t="n">
        <v>27.222</v>
      </c>
      <c r="F455" s="0" t="n">
        <v>0.1337</v>
      </c>
      <c r="G455" s="12" t="n">
        <f aca="false">(A455+(C455*D455*COS(RADIANS(E455))^2-F455*C455*D455)*TAN(RADIANS(B455)))/(C455*D455*SIN(RADIANS(E455))*COS(RADIANS(E455)))</f>
        <v>1.21544360779325</v>
      </c>
    </row>
    <row r="456" customFormat="false" ht="15" hidden="false" customHeight="false" outlineLevel="0" collapsed="false">
      <c r="A456" s="0" t="n">
        <v>16.571</v>
      </c>
      <c r="B456" s="0" t="n">
        <v>40.825</v>
      </c>
      <c r="C456" s="0" t="n">
        <v>18.319</v>
      </c>
      <c r="D456" s="0" t="n">
        <v>12.634</v>
      </c>
      <c r="E456" s="0" t="n">
        <v>25.688</v>
      </c>
      <c r="F456" s="0" t="n">
        <v>0.2126</v>
      </c>
      <c r="G456" s="12" t="n">
        <f aca="false">(A456+(C456*D456*COS(RADIANS(E456))^2-F456*C456*D456)*TAN(RADIANS(B456)))/(C456*D456*SIN(RADIANS(E456))*COS(RADIANS(E456)))</f>
        <v>1.50918697141717</v>
      </c>
    </row>
    <row r="457" customFormat="false" ht="15" hidden="false" customHeight="false" outlineLevel="0" collapsed="false">
      <c r="A457" s="0" t="n">
        <v>10.838</v>
      </c>
      <c r="B457" s="0" t="n">
        <v>32.353</v>
      </c>
      <c r="C457" s="0" t="n">
        <v>20.142</v>
      </c>
      <c r="D457" s="0" t="n">
        <v>7.222</v>
      </c>
      <c r="E457" s="0" t="n">
        <v>28.077</v>
      </c>
      <c r="F457" s="0" t="n">
        <v>0.1215</v>
      </c>
      <c r="G457" s="12" t="n">
        <f aca="false">(A457+(C457*D457*COS(RADIANS(E457))^2-F457*C457*D457)*TAN(RADIANS(B457)))/(C457*D457*SIN(RADIANS(E457))*COS(RADIANS(E457)))</f>
        <v>1.18160350309154</v>
      </c>
    </row>
    <row r="458" customFormat="false" ht="15" hidden="false" customHeight="false" outlineLevel="0" collapsed="false">
      <c r="A458" s="0" t="n">
        <v>16.899</v>
      </c>
      <c r="B458" s="0" t="n">
        <v>34.956</v>
      </c>
      <c r="C458" s="0" t="n">
        <v>19.156</v>
      </c>
      <c r="D458" s="0" t="n">
        <v>15.736</v>
      </c>
      <c r="E458" s="0" t="n">
        <v>28.923</v>
      </c>
      <c r="F458" s="0" t="n">
        <v>0.1776</v>
      </c>
      <c r="G458" s="12" t="n">
        <f aca="false">(A458+(C458*D458*COS(RADIANS(E458))^2-F458*C458*D458)*TAN(RADIANS(B458)))/(C458*D458*SIN(RADIANS(E458))*COS(RADIANS(E458)))</f>
        <v>1.10429372309193</v>
      </c>
    </row>
    <row r="459" customFormat="false" ht="15" hidden="false" customHeight="false" outlineLevel="0" collapsed="false">
      <c r="A459" s="0" t="n">
        <v>14.476</v>
      </c>
      <c r="B459" s="0" t="n">
        <v>34.108</v>
      </c>
      <c r="C459" s="0" t="n">
        <v>20.44</v>
      </c>
      <c r="D459" s="0" t="n">
        <v>15.207</v>
      </c>
      <c r="E459" s="0" t="n">
        <v>27.444</v>
      </c>
      <c r="F459" s="0" t="n">
        <v>0.0234</v>
      </c>
      <c r="G459" s="12" t="n">
        <f aca="false">(A459+(C459*D459*COS(RADIANS(E459))^2-F459*C459*D459)*TAN(RADIANS(B459)))/(C459*D459*SIN(RADIANS(E459))*COS(RADIANS(E459)))</f>
        <v>1.37922184456523</v>
      </c>
    </row>
    <row r="460" customFormat="false" ht="15" hidden="false" customHeight="false" outlineLevel="0" collapsed="false">
      <c r="A460" s="0" t="n">
        <v>7.676</v>
      </c>
      <c r="B460" s="0" t="n">
        <v>31.128</v>
      </c>
      <c r="C460" s="0" t="n">
        <v>20.893</v>
      </c>
      <c r="D460" s="0" t="n">
        <v>10.334</v>
      </c>
      <c r="E460" s="0" t="n">
        <v>32.627</v>
      </c>
      <c r="F460" s="0" t="n">
        <v>0.1305</v>
      </c>
      <c r="G460" s="12" t="n">
        <f aca="false">(A460+(C460*D460*COS(RADIANS(E460))^2-F460*C460*D460)*TAN(RADIANS(B460)))/(C460*D460*SIN(RADIANS(E460))*COS(RADIANS(E460)))</f>
        <v>0.84805794949477</v>
      </c>
    </row>
    <row r="461" customFormat="false" ht="15" hidden="false" customHeight="false" outlineLevel="0" collapsed="false">
      <c r="A461" s="0" t="n">
        <v>18.713</v>
      </c>
      <c r="B461" s="0" t="n">
        <v>37.972</v>
      </c>
      <c r="C461" s="0" t="n">
        <v>18.94</v>
      </c>
      <c r="D461" s="0" t="n">
        <v>14.75</v>
      </c>
      <c r="E461" s="0" t="n">
        <v>27.823</v>
      </c>
      <c r="F461" s="0" t="n">
        <v>0.0444</v>
      </c>
      <c r="G461" s="12" t="n">
        <f aca="false">(A461+(C461*D461*COS(RADIANS(E461))^2-F461*C461*D461)*TAN(RADIANS(B461)))/(C461*D461*SIN(RADIANS(E461))*COS(RADIANS(E461)))</f>
        <v>1.5572303453021</v>
      </c>
    </row>
    <row r="462" customFormat="false" ht="15" hidden="false" customHeight="false" outlineLevel="0" collapsed="false">
      <c r="A462" s="0" t="n">
        <v>12.58</v>
      </c>
      <c r="B462" s="0" t="n">
        <v>35.885</v>
      </c>
      <c r="C462" s="0" t="n">
        <v>18.855</v>
      </c>
      <c r="D462" s="0" t="n">
        <v>16.648</v>
      </c>
      <c r="E462" s="0" t="n">
        <v>29.152</v>
      </c>
      <c r="F462" s="0" t="n">
        <v>0.0114</v>
      </c>
      <c r="G462" s="12" t="n">
        <f aca="false">(A462+(C462*D462*COS(RADIANS(E462))^2-F462*C462*D462)*TAN(RADIANS(B462)))/(C462*D462*SIN(RADIANS(E462))*COS(RADIANS(E462)))</f>
        <v>1.37188330700819</v>
      </c>
    </row>
    <row r="463" customFormat="false" ht="15" hidden="false" customHeight="false" outlineLevel="0" collapsed="false">
      <c r="A463" s="0" t="n">
        <v>12.864</v>
      </c>
      <c r="B463" s="0" t="n">
        <v>37.004</v>
      </c>
      <c r="C463" s="0" t="n">
        <v>20.347</v>
      </c>
      <c r="D463" s="0" t="n">
        <v>16.06</v>
      </c>
      <c r="E463" s="0" t="n">
        <v>27.983</v>
      </c>
      <c r="F463" s="0" t="n">
        <v>0</v>
      </c>
      <c r="G463" s="12" t="n">
        <f aca="false">(A463+(C463*D463*COS(RADIANS(E463))^2-F463*C463*D463)*TAN(RADIANS(B463)))/(C463*D463*SIN(RADIANS(E463))*COS(RADIANS(E463)))</f>
        <v>1.51345798127246</v>
      </c>
    </row>
    <row r="464" customFormat="false" ht="15" hidden="false" customHeight="false" outlineLevel="0" collapsed="false">
      <c r="A464" s="0" t="n">
        <v>10.721</v>
      </c>
      <c r="B464" s="0" t="n">
        <v>36.955</v>
      </c>
      <c r="C464" s="0" t="n">
        <v>18.721</v>
      </c>
      <c r="D464" s="0" t="n">
        <v>13.584</v>
      </c>
      <c r="E464" s="0" t="n">
        <v>25.048</v>
      </c>
      <c r="F464" s="0" t="n">
        <v>0.2401</v>
      </c>
      <c r="G464" s="12" t="n">
        <f aca="false">(A464+(C464*D464*COS(RADIANS(E464))^2-F464*C464*D464)*TAN(RADIANS(B464)))/(C464*D464*SIN(RADIANS(E464))*COS(RADIANS(E464)))</f>
        <v>1.24881481843433</v>
      </c>
    </row>
    <row r="465" customFormat="false" ht="15" hidden="false" customHeight="false" outlineLevel="0" collapsed="false">
      <c r="A465" s="0" t="n">
        <v>12.383</v>
      </c>
      <c r="B465" s="0" t="n">
        <v>29.928</v>
      </c>
      <c r="C465" s="0" t="n">
        <v>20.53</v>
      </c>
      <c r="D465" s="0" t="n">
        <v>16.726</v>
      </c>
      <c r="E465" s="0" t="n">
        <v>28.468</v>
      </c>
      <c r="F465" s="0" t="n">
        <v>0.1101</v>
      </c>
      <c r="G465" s="12" t="n">
        <f aca="false">(A465+(C465*D465*COS(RADIANS(E465))^2-F465*C465*D465)*TAN(RADIANS(B465)))/(C465*D465*SIN(RADIANS(E465))*COS(RADIANS(E465)))</f>
        <v>0.996477965790776</v>
      </c>
    </row>
    <row r="466" customFormat="false" ht="15" hidden="false" customHeight="false" outlineLevel="0" collapsed="false">
      <c r="A466" s="0" t="n">
        <v>16.712</v>
      </c>
      <c r="B466" s="0" t="n">
        <v>38.585</v>
      </c>
      <c r="C466" s="0" t="n">
        <v>20.088</v>
      </c>
      <c r="D466" s="0" t="n">
        <v>10.198</v>
      </c>
      <c r="E466" s="0" t="n">
        <v>27.885</v>
      </c>
      <c r="F466" s="0" t="n">
        <v>0</v>
      </c>
      <c r="G466" s="12" t="n">
        <f aca="false">(A466+(C466*D466*COS(RADIANS(E466))^2-F466*C466*D466)*TAN(RADIANS(B466)))/(C466*D466*SIN(RADIANS(E466))*COS(RADIANS(E466)))</f>
        <v>1.70519085446953</v>
      </c>
    </row>
    <row r="467" customFormat="false" ht="15" hidden="false" customHeight="false" outlineLevel="0" collapsed="false">
      <c r="A467" s="0" t="n">
        <v>14.243</v>
      </c>
      <c r="B467" s="0" t="n">
        <v>32.75</v>
      </c>
      <c r="C467" s="0" t="n">
        <v>19.711</v>
      </c>
      <c r="D467" s="0" t="n">
        <v>14.522</v>
      </c>
      <c r="E467" s="0" t="n">
        <v>28.785</v>
      </c>
      <c r="F467" s="0" t="n">
        <v>0</v>
      </c>
      <c r="G467" s="12" t="n">
        <f aca="false">(A467+(C467*D467*COS(RADIANS(E467))^2-F467*C467*D467)*TAN(RADIANS(B467)))/(C467*D467*SIN(RADIANS(E467))*COS(RADIANS(E467)))</f>
        <v>1.2886459811922</v>
      </c>
    </row>
    <row r="468" customFormat="false" ht="15" hidden="false" customHeight="false" outlineLevel="0" collapsed="false">
      <c r="A468" s="0" t="n">
        <v>16.315</v>
      </c>
      <c r="B468" s="0" t="n">
        <v>37.933</v>
      </c>
      <c r="C468" s="0" t="n">
        <v>20.336</v>
      </c>
      <c r="D468" s="0" t="n">
        <v>18.656</v>
      </c>
      <c r="E468" s="0" t="n">
        <v>24.271</v>
      </c>
      <c r="F468" s="0" t="n">
        <v>0.1966</v>
      </c>
      <c r="G468" s="12" t="n">
        <f aca="false">(A468+(C468*D468*COS(RADIANS(E468))^2-F468*C468*D468)*TAN(RADIANS(B468)))/(C468*D468*SIN(RADIANS(E468))*COS(RADIANS(E468)))</f>
        <v>1.43436206879461</v>
      </c>
    </row>
    <row r="469" customFormat="false" ht="15" hidden="false" customHeight="false" outlineLevel="0" collapsed="false">
      <c r="A469" s="0" t="n">
        <v>16.448</v>
      </c>
      <c r="B469" s="0" t="n">
        <v>31.25</v>
      </c>
      <c r="C469" s="0" t="n">
        <v>19.659</v>
      </c>
      <c r="D469" s="0" t="n">
        <v>15.48</v>
      </c>
      <c r="E469" s="0" t="n">
        <v>25.698</v>
      </c>
      <c r="F469" s="0" t="n">
        <v>0.1617</v>
      </c>
      <c r="G469" s="12" t="n">
        <f aca="false">(A469+(C469*D469*COS(RADIANS(E469))^2-F469*C469*D469)*TAN(RADIANS(B469)))/(C469*D469*SIN(RADIANS(E469))*COS(RADIANS(E469)))</f>
        <v>1.14818461350928</v>
      </c>
    </row>
    <row r="470" customFormat="false" ht="15" hidden="false" customHeight="false" outlineLevel="0" collapsed="false">
      <c r="A470" s="0" t="n">
        <v>20.283</v>
      </c>
      <c r="B470" s="0" t="n">
        <v>36.097</v>
      </c>
      <c r="C470" s="0" t="n">
        <v>18.39</v>
      </c>
      <c r="D470" s="0" t="n">
        <v>12.415</v>
      </c>
      <c r="E470" s="0" t="n">
        <v>27.608</v>
      </c>
      <c r="F470" s="0" t="n">
        <v>0.1946</v>
      </c>
      <c r="G470" s="12" t="n">
        <f aca="false">(A470+(C470*D470*COS(RADIANS(E470))^2-F470*C470*D470)*TAN(RADIANS(B470)))/(C470*D470*SIN(RADIANS(E470))*COS(RADIANS(E470)))</f>
        <v>1.26504292982824</v>
      </c>
    </row>
    <row r="471" customFormat="false" ht="15" hidden="false" customHeight="false" outlineLevel="0" collapsed="false">
      <c r="A471" s="0" t="n">
        <v>13.629</v>
      </c>
      <c r="B471" s="0" t="n">
        <v>33.12</v>
      </c>
      <c r="C471" s="0" t="n">
        <v>19.032</v>
      </c>
      <c r="D471" s="0" t="n">
        <v>19.031</v>
      </c>
      <c r="E471" s="0" t="n">
        <v>30.477</v>
      </c>
      <c r="F471" s="0" t="n">
        <v>0.1679</v>
      </c>
      <c r="G471" s="12" t="n">
        <f aca="false">(A471+(C471*D471*COS(RADIANS(E471))^2-F471*C471*D471)*TAN(RADIANS(B471)))/(C471*D471*SIN(RADIANS(E471))*COS(RADIANS(E471)))</f>
        <v>0.944049733609708</v>
      </c>
    </row>
    <row r="472" customFormat="false" ht="15" hidden="false" customHeight="false" outlineLevel="0" collapsed="false">
      <c r="A472" s="0" t="n">
        <v>9.093</v>
      </c>
      <c r="B472" s="0" t="n">
        <v>35.684</v>
      </c>
      <c r="C472" s="0" t="n">
        <v>21.021</v>
      </c>
      <c r="D472" s="0" t="n">
        <v>15.014</v>
      </c>
      <c r="E472" s="0" t="n">
        <v>28.847</v>
      </c>
      <c r="F472" s="0" t="n">
        <v>0.1009</v>
      </c>
      <c r="G472" s="12" t="n">
        <f aca="false">(A472+(C472*D472*COS(RADIANS(E472))^2-F472*C472*D472)*TAN(RADIANS(B472)))/(C472*D472*SIN(RADIANS(E472))*COS(RADIANS(E472)))</f>
        <v>1.20048538365605</v>
      </c>
    </row>
    <row r="473" customFormat="false" ht="15" hidden="false" customHeight="false" outlineLevel="0" collapsed="false">
      <c r="A473" s="0" t="n">
        <v>19.269</v>
      </c>
      <c r="B473" s="0" t="n">
        <v>34.539</v>
      </c>
      <c r="C473" s="0" t="n">
        <v>20.159</v>
      </c>
      <c r="D473" s="0" t="n">
        <v>15.186</v>
      </c>
      <c r="E473" s="0" t="n">
        <v>29.559</v>
      </c>
      <c r="F473" s="0" t="n">
        <v>0.0508</v>
      </c>
      <c r="G473" s="12" t="n">
        <f aca="false">(A473+(C473*D473*COS(RADIANS(E473))^2-F473*C473*D473)*TAN(RADIANS(B473)))/(C473*D473*SIN(RADIANS(E473))*COS(RADIANS(E473)))</f>
        <v>1.27881939267945</v>
      </c>
    </row>
    <row r="474" customFormat="false" ht="15" hidden="false" customHeight="false" outlineLevel="0" collapsed="false">
      <c r="A474" s="0" t="n">
        <v>13.674</v>
      </c>
      <c r="B474" s="0" t="n">
        <v>35.872</v>
      </c>
      <c r="C474" s="0" t="n">
        <v>20.704</v>
      </c>
      <c r="D474" s="0" t="n">
        <v>16.922</v>
      </c>
      <c r="E474" s="0" t="n">
        <v>26.094</v>
      </c>
      <c r="F474" s="0" t="n">
        <v>0.2204</v>
      </c>
      <c r="G474" s="12" t="n">
        <f aca="false">(A474+(C474*D474*COS(RADIANS(E474))^2-F474*C474*D474)*TAN(RADIANS(B474)))/(C474*D474*SIN(RADIANS(E474))*COS(RADIANS(E474)))</f>
        <v>1.17182053365206</v>
      </c>
    </row>
    <row r="475" customFormat="false" ht="15" hidden="false" customHeight="false" outlineLevel="0" collapsed="false">
      <c r="A475" s="0" t="n">
        <v>19.458</v>
      </c>
      <c r="B475" s="0" t="n">
        <v>34.327</v>
      </c>
      <c r="C475" s="0" t="n">
        <v>19.979</v>
      </c>
      <c r="D475" s="0" t="n">
        <v>14.739</v>
      </c>
      <c r="E475" s="0" t="n">
        <v>28.523</v>
      </c>
      <c r="F475" s="0" t="n">
        <v>0.1374</v>
      </c>
      <c r="G475" s="12" t="n">
        <f aca="false">(A475+(C475*D475*COS(RADIANS(E475))^2-F475*C475*D475)*TAN(RADIANS(B475)))/(C475*D475*SIN(RADIANS(E475))*COS(RADIANS(E475)))</f>
        <v>1.19031051736846</v>
      </c>
    </row>
    <row r="476" customFormat="false" ht="15" hidden="false" customHeight="false" outlineLevel="0" collapsed="false">
      <c r="A476" s="0" t="n">
        <v>16.534</v>
      </c>
      <c r="B476" s="0" t="n">
        <v>33.569</v>
      </c>
      <c r="C476" s="0" t="n">
        <v>19.336</v>
      </c>
      <c r="D476" s="0" t="n">
        <v>13.784</v>
      </c>
      <c r="E476" s="0" t="n">
        <v>27.593</v>
      </c>
      <c r="F476" s="0" t="n">
        <v>0.0705</v>
      </c>
      <c r="G476" s="12" t="n">
        <f aca="false">(A476+(C476*D476*COS(RADIANS(E476))^2-F476*C476*D476)*TAN(RADIANS(B476)))/(C476*D476*SIN(RADIANS(E476))*COS(RADIANS(E476)))</f>
        <v>1.3069123196549</v>
      </c>
    </row>
    <row r="477" customFormat="false" ht="15" hidden="false" customHeight="false" outlineLevel="0" collapsed="false">
      <c r="A477" s="0" t="n">
        <v>14.475</v>
      </c>
      <c r="B477" s="0" t="n">
        <v>38.758</v>
      </c>
      <c r="C477" s="0" t="n">
        <v>20.615</v>
      </c>
      <c r="D477" s="0" t="n">
        <v>15.212</v>
      </c>
      <c r="E477" s="0" t="n">
        <v>30.916</v>
      </c>
      <c r="F477" s="0" t="n">
        <v>0.1766</v>
      </c>
      <c r="G477" s="12" t="n">
        <f aca="false">(A477+(C477*D477*COS(RADIANS(E477))^2-F477*C477*D477)*TAN(RADIANS(B477)))/(C477*D477*SIN(RADIANS(E477))*COS(RADIANS(E477)))</f>
        <v>1.12362632815906</v>
      </c>
    </row>
    <row r="478" customFormat="false" ht="15" hidden="false" customHeight="false" outlineLevel="0" collapsed="false">
      <c r="A478" s="0" t="n">
        <v>16.395</v>
      </c>
      <c r="B478" s="0" t="n">
        <v>38.757</v>
      </c>
      <c r="C478" s="0" t="n">
        <v>20.242</v>
      </c>
      <c r="D478" s="0" t="n">
        <v>15.967</v>
      </c>
      <c r="E478" s="0" t="n">
        <v>28.515</v>
      </c>
      <c r="F478" s="0" t="n">
        <v>0.1357</v>
      </c>
      <c r="G478" s="12" t="n">
        <f aca="false">(A478+(C478*D478*COS(RADIANS(E478))^2-F478*C478*D478)*TAN(RADIANS(B478)))/(C478*D478*SIN(RADIANS(E478))*COS(RADIANS(E478)))</f>
        <v>1.33885329790793</v>
      </c>
    </row>
    <row r="479" customFormat="false" ht="15" hidden="false" customHeight="false" outlineLevel="0" collapsed="false">
      <c r="A479" s="0" t="n">
        <v>22.804</v>
      </c>
      <c r="B479" s="0" t="n">
        <v>40.713</v>
      </c>
      <c r="C479" s="0" t="n">
        <v>18.841</v>
      </c>
      <c r="D479" s="0" t="n">
        <v>22.382</v>
      </c>
      <c r="E479" s="0" t="n">
        <v>26.068</v>
      </c>
      <c r="F479" s="0" t="n">
        <v>0.0201</v>
      </c>
      <c r="G479" s="12" t="n">
        <f aca="false">(A479+(C479*D479*COS(RADIANS(E479))^2-F479*C479*D479)*TAN(RADIANS(B479)))/(C479*D479*SIN(RADIANS(E479))*COS(RADIANS(E479)))</f>
        <v>1.85222327971697</v>
      </c>
    </row>
    <row r="480" customFormat="false" ht="15" hidden="false" customHeight="false" outlineLevel="0" collapsed="false">
      <c r="A480" s="0" t="n">
        <v>23.308</v>
      </c>
      <c r="B480" s="0" t="n">
        <v>35.161</v>
      </c>
      <c r="C480" s="0" t="n">
        <v>21.244</v>
      </c>
      <c r="D480" s="0" t="n">
        <v>13.349</v>
      </c>
      <c r="E480" s="0" t="n">
        <v>25.496</v>
      </c>
      <c r="F480" s="0" t="n">
        <v>0.1331</v>
      </c>
      <c r="G480" s="12" t="n">
        <f aca="false">(A480+(C480*D480*COS(RADIANS(E480))^2-F480*C480*D480)*TAN(RADIANS(B480)))/(C480*D480*SIN(RADIANS(E480))*COS(RADIANS(E480)))</f>
        <v>1.4473095339921</v>
      </c>
    </row>
    <row r="481" customFormat="false" ht="15" hidden="false" customHeight="false" outlineLevel="0" collapsed="false">
      <c r="A481" s="0" t="n">
        <v>15.278</v>
      </c>
      <c r="B481" s="0" t="n">
        <v>34.769</v>
      </c>
      <c r="C481" s="0" t="n">
        <v>21.153</v>
      </c>
      <c r="D481" s="0" t="n">
        <v>18.288</v>
      </c>
      <c r="E481" s="0" t="n">
        <v>29.644</v>
      </c>
      <c r="F481" s="0" t="n">
        <v>0.2933</v>
      </c>
      <c r="G481" s="12" t="n">
        <f aca="false">(A481+(C481*D481*COS(RADIANS(E481))^2-F481*C481*D481)*TAN(RADIANS(B481)))/(C481*D481*SIN(RADIANS(E481))*COS(RADIANS(E481)))</f>
        <v>0.838071970983145</v>
      </c>
    </row>
    <row r="482" customFormat="false" ht="15" hidden="false" customHeight="false" outlineLevel="0" collapsed="false">
      <c r="A482" s="0" t="n">
        <v>15.641</v>
      </c>
      <c r="B482" s="0" t="n">
        <v>35.327</v>
      </c>
      <c r="C482" s="0" t="n">
        <v>19.019</v>
      </c>
      <c r="D482" s="0" t="n">
        <v>14.279</v>
      </c>
      <c r="E482" s="0" t="n">
        <v>31.14</v>
      </c>
      <c r="F482" s="0" t="n">
        <v>0.0773</v>
      </c>
      <c r="G482" s="12" t="n">
        <f aca="false">(A482+(C482*D482*COS(RADIANS(E482))^2-F482*C482*D482)*TAN(RADIANS(B482)))/(C482*D482*SIN(RADIANS(E482))*COS(RADIANS(E482)))</f>
        <v>1.17939554348345</v>
      </c>
    </row>
    <row r="483" customFormat="false" ht="15" hidden="false" customHeight="false" outlineLevel="0" collapsed="false">
      <c r="A483" s="0" t="n">
        <v>19.305</v>
      </c>
      <c r="B483" s="0" t="n">
        <v>33.062</v>
      </c>
      <c r="C483" s="0" t="n">
        <v>20.258</v>
      </c>
      <c r="D483" s="0" t="n">
        <v>16.835</v>
      </c>
      <c r="E483" s="0" t="n">
        <v>26.497</v>
      </c>
      <c r="F483" s="0" t="n">
        <v>0.2707</v>
      </c>
      <c r="G483" s="12" t="n">
        <f aca="false">(A483+(C483*D483*COS(RADIANS(E483))^2-F483*C483*D483)*TAN(RADIANS(B483)))/(C483*D483*SIN(RADIANS(E483))*COS(RADIANS(E483)))</f>
        <v>1.00622043044867</v>
      </c>
    </row>
    <row r="484" customFormat="false" ht="15" hidden="false" customHeight="false" outlineLevel="0" collapsed="false">
      <c r="A484" s="0" t="n">
        <v>11.617</v>
      </c>
      <c r="B484" s="0" t="n">
        <v>31.415</v>
      </c>
      <c r="C484" s="0" t="n">
        <v>20.766</v>
      </c>
      <c r="D484" s="0" t="n">
        <v>14.048</v>
      </c>
      <c r="E484" s="0" t="n">
        <v>28.963</v>
      </c>
      <c r="F484" s="0" t="n">
        <v>0.0548</v>
      </c>
      <c r="G484" s="12" t="n">
        <f aca="false">(A484+(C484*D484*COS(RADIANS(E484))^2-F484*C484*D484)*TAN(RADIANS(B484)))/(C484*D484*SIN(RADIANS(E484))*COS(RADIANS(E484)))</f>
        <v>1.11851759035092</v>
      </c>
    </row>
    <row r="485" customFormat="false" ht="15" hidden="false" customHeight="false" outlineLevel="0" collapsed="false">
      <c r="A485" s="0" t="n">
        <v>16.332</v>
      </c>
      <c r="B485" s="0" t="n">
        <v>33.502</v>
      </c>
      <c r="C485" s="0" t="n">
        <v>19.906</v>
      </c>
      <c r="D485" s="0" t="n">
        <v>14.099</v>
      </c>
      <c r="E485" s="0" t="n">
        <v>27.235</v>
      </c>
      <c r="F485" s="0" t="n">
        <v>0.1681</v>
      </c>
      <c r="G485" s="12" t="n">
        <f aca="false">(A485+(C485*D485*COS(RADIANS(E485))^2-F485*C485*D485)*TAN(RADIANS(B485)))/(C485*D485*SIN(RADIANS(E485))*COS(RADIANS(E485)))</f>
        <v>1.15560950651037</v>
      </c>
    </row>
    <row r="486" customFormat="false" ht="15" hidden="false" customHeight="false" outlineLevel="0" collapsed="false">
      <c r="A486" s="0" t="n">
        <v>14.897</v>
      </c>
      <c r="B486" s="0" t="n">
        <v>32.918</v>
      </c>
      <c r="C486" s="0" t="n">
        <v>21.989</v>
      </c>
      <c r="D486" s="0" t="n">
        <v>13.819</v>
      </c>
      <c r="E486" s="0" t="n">
        <v>25.691</v>
      </c>
      <c r="F486" s="0" t="n">
        <v>0.2225</v>
      </c>
      <c r="G486" s="12" t="n">
        <f aca="false">(A486+(C486*D486*COS(RADIANS(E486))^2-F486*C486*D486)*TAN(RADIANS(B486)))/(C486*D486*SIN(RADIANS(E486))*COS(RADIANS(E486)))</f>
        <v>1.10246852969211</v>
      </c>
    </row>
    <row r="487" customFormat="false" ht="15" hidden="false" customHeight="false" outlineLevel="0" collapsed="false">
      <c r="A487" s="0" t="n">
        <v>16.256</v>
      </c>
      <c r="B487" s="0" t="n">
        <v>36.811</v>
      </c>
      <c r="C487" s="0" t="n">
        <v>19.61</v>
      </c>
      <c r="D487" s="0" t="n">
        <v>18.529</v>
      </c>
      <c r="E487" s="0" t="n">
        <v>31.075</v>
      </c>
      <c r="F487" s="0" t="n">
        <v>0.1269</v>
      </c>
      <c r="G487" s="12" t="n">
        <f aca="false">(A487+(C487*D487*COS(RADIANS(E487))^2-F487*C487*D487)*TAN(RADIANS(B487)))/(C487*D487*SIN(RADIANS(E487))*COS(RADIANS(E487)))</f>
        <v>1.12822746437269</v>
      </c>
    </row>
    <row r="488" customFormat="false" ht="15" hidden="false" customHeight="false" outlineLevel="0" collapsed="false">
      <c r="A488" s="0" t="n">
        <v>11.667</v>
      </c>
      <c r="B488" s="0" t="n">
        <v>37.477</v>
      </c>
      <c r="C488" s="0" t="n">
        <v>19.966</v>
      </c>
      <c r="D488" s="0" t="n">
        <v>14.941</v>
      </c>
      <c r="E488" s="0" t="n">
        <v>29.288</v>
      </c>
      <c r="F488" s="0" t="n">
        <v>0.02</v>
      </c>
      <c r="G488" s="12" t="n">
        <f aca="false">(A488+(C488*D488*COS(RADIANS(E488))^2-F488*C488*D488)*TAN(RADIANS(B488)))/(C488*D488*SIN(RADIANS(E488))*COS(RADIANS(E488)))</f>
        <v>1.42262086017313</v>
      </c>
    </row>
    <row r="489" customFormat="false" ht="15" hidden="false" customHeight="false" outlineLevel="0" collapsed="false">
      <c r="A489" s="0" t="n">
        <v>8.642</v>
      </c>
      <c r="B489" s="0" t="n">
        <v>29.263</v>
      </c>
      <c r="C489" s="0" t="n">
        <v>22.355</v>
      </c>
      <c r="D489" s="0" t="n">
        <v>15.547</v>
      </c>
      <c r="E489" s="0" t="n">
        <v>27.314</v>
      </c>
      <c r="F489" s="0" t="n">
        <v>0.1941</v>
      </c>
      <c r="G489" s="12" t="n">
        <f aca="false">(A489+(C489*D489*COS(RADIANS(E489))^2-F489*C489*D489)*TAN(RADIANS(B489)))/(C489*D489*SIN(RADIANS(E489))*COS(RADIANS(E489)))</f>
        <v>0.879188555467965</v>
      </c>
    </row>
    <row r="490" customFormat="false" ht="15" hidden="false" customHeight="false" outlineLevel="0" collapsed="false">
      <c r="A490" s="0" t="n">
        <v>6.708</v>
      </c>
      <c r="B490" s="0" t="n">
        <v>32.752</v>
      </c>
      <c r="C490" s="0" t="n">
        <v>18.965</v>
      </c>
      <c r="D490" s="0" t="n">
        <v>17.765</v>
      </c>
      <c r="E490" s="0" t="n">
        <v>28.589</v>
      </c>
      <c r="F490" s="0" t="n">
        <v>0.1198</v>
      </c>
      <c r="G490" s="12" t="n">
        <f aca="false">(A490+(C490*D490*COS(RADIANS(E490))^2-F490*C490*D490)*TAN(RADIANS(B490)))/(C490*D490*SIN(RADIANS(E490))*COS(RADIANS(E490)))</f>
        <v>1.04435939700834</v>
      </c>
    </row>
    <row r="491" customFormat="false" ht="15" hidden="false" customHeight="false" outlineLevel="0" collapsed="false">
      <c r="A491" s="0" t="n">
        <v>10.53</v>
      </c>
      <c r="B491" s="0" t="n">
        <v>36.308</v>
      </c>
      <c r="C491" s="0" t="n">
        <v>20.062</v>
      </c>
      <c r="D491" s="0" t="n">
        <v>14.409</v>
      </c>
      <c r="E491" s="0" t="n">
        <v>29.027</v>
      </c>
      <c r="F491" s="0" t="n">
        <v>0.2333</v>
      </c>
      <c r="G491" s="12" t="n">
        <f aca="false">(A491+(C491*D491*COS(RADIANS(E491))^2-F491*C491*D491)*TAN(RADIANS(B491)))/(C491*D491*SIN(RADIANS(E491))*COS(RADIANS(E491)))</f>
        <v>1.00593144888136</v>
      </c>
    </row>
    <row r="492" customFormat="false" ht="15" hidden="false" customHeight="false" outlineLevel="0" collapsed="false">
      <c r="A492" s="0" t="n">
        <v>13.165</v>
      </c>
      <c r="B492" s="0" t="n">
        <v>35.569</v>
      </c>
      <c r="C492" s="0" t="n">
        <v>20.526</v>
      </c>
      <c r="D492" s="0" t="n">
        <v>14.053</v>
      </c>
      <c r="E492" s="0" t="n">
        <v>27.88</v>
      </c>
      <c r="F492" s="0" t="n">
        <v>0.1587</v>
      </c>
      <c r="G492" s="12" t="n">
        <f aca="false">(A492+(C492*D492*COS(RADIANS(E492))^2-F492*C492*D492)*TAN(RADIANS(B492)))/(C492*D492*SIN(RADIANS(E492))*COS(RADIANS(E492)))</f>
        <v>1.18760742310438</v>
      </c>
    </row>
    <row r="493" customFormat="false" ht="15" hidden="false" customHeight="false" outlineLevel="0" collapsed="false">
      <c r="A493" s="0" t="n">
        <v>13.827</v>
      </c>
      <c r="B493" s="0" t="n">
        <v>34.515</v>
      </c>
      <c r="C493" s="0" t="n">
        <v>20.685</v>
      </c>
      <c r="D493" s="0" t="n">
        <v>15.003</v>
      </c>
      <c r="E493" s="0" t="n">
        <v>28.713</v>
      </c>
      <c r="F493" s="0" t="n">
        <v>0.1768</v>
      </c>
      <c r="G493" s="12" t="n">
        <f aca="false">(A493+(C493*D493*COS(RADIANS(E493))^2-F493*C493*D493)*TAN(RADIANS(B493)))/(C493*D493*SIN(RADIANS(E493))*COS(RADIANS(E493)))</f>
        <v>1.07256711302234</v>
      </c>
    </row>
    <row r="494" customFormat="false" ht="15" hidden="false" customHeight="false" outlineLevel="0" collapsed="false">
      <c r="A494" s="0" t="n">
        <v>22.749</v>
      </c>
      <c r="B494" s="0" t="n">
        <v>34.427</v>
      </c>
      <c r="C494" s="0" t="n">
        <v>19.229</v>
      </c>
      <c r="D494" s="0" t="n">
        <v>19.704</v>
      </c>
      <c r="E494" s="0" t="n">
        <v>24.783</v>
      </c>
      <c r="F494" s="0" t="n">
        <v>0.2111</v>
      </c>
      <c r="G494" s="12" t="n">
        <f aca="false">(A494+(C494*D494*COS(RADIANS(E494))^2-F494*C494*D494)*TAN(RADIANS(B494)))/(C494*D494*SIN(RADIANS(E494))*COS(RADIANS(E494)))</f>
        <v>1.26209257151193</v>
      </c>
    </row>
    <row r="495" customFormat="false" ht="15" hidden="false" customHeight="false" outlineLevel="0" collapsed="false">
      <c r="A495" s="0" t="n">
        <v>19.424</v>
      </c>
      <c r="B495" s="0" t="n">
        <v>36.157</v>
      </c>
      <c r="C495" s="0" t="n">
        <v>21.163</v>
      </c>
      <c r="D495" s="0" t="n">
        <v>12.245</v>
      </c>
      <c r="E495" s="0" t="n">
        <v>30.437</v>
      </c>
      <c r="F495" s="0" t="n">
        <v>0.1774</v>
      </c>
      <c r="G495" s="12" t="n">
        <f aca="false">(A495+(C495*D495*COS(RADIANS(E495))^2-F495*C495*D495)*TAN(RADIANS(B495)))/(C495*D495*SIN(RADIANS(E495))*COS(RADIANS(E495)))</f>
        <v>1.11848677632362</v>
      </c>
    </row>
    <row r="496" customFormat="false" ht="15" hidden="false" customHeight="false" outlineLevel="0" collapsed="false">
      <c r="A496" s="0" t="n">
        <v>11.152</v>
      </c>
      <c r="B496" s="0" t="n">
        <v>36.333</v>
      </c>
      <c r="C496" s="0" t="n">
        <v>19.912</v>
      </c>
      <c r="D496" s="0" t="n">
        <v>16.378</v>
      </c>
      <c r="E496" s="0" t="n">
        <v>29.014</v>
      </c>
      <c r="F496" s="0" t="n">
        <v>0.1349</v>
      </c>
      <c r="G496" s="12" t="n">
        <f aca="false">(A496+(C496*D496*COS(RADIANS(E496))^2-F496*C496*D496)*TAN(RADIANS(B496)))/(C496*D496*SIN(RADIANS(E496))*COS(RADIANS(E496)))</f>
        <v>1.17275345650645</v>
      </c>
    </row>
    <row r="497" customFormat="false" ht="15" hidden="false" customHeight="false" outlineLevel="0" collapsed="false">
      <c r="A497" s="0" t="n">
        <v>16.391</v>
      </c>
      <c r="B497" s="0" t="n">
        <v>31.22</v>
      </c>
      <c r="C497" s="0" t="n">
        <v>19.419</v>
      </c>
      <c r="D497" s="0" t="n">
        <v>14.273</v>
      </c>
      <c r="E497" s="0" t="n">
        <v>29.455</v>
      </c>
      <c r="F497" s="0" t="n">
        <v>0.3105</v>
      </c>
      <c r="G497" s="12" t="n">
        <f aca="false">(A497+(C497*D497*COS(RADIANS(E497))^2-F497*C497*D497)*TAN(RADIANS(B497)))/(C497*D497*SIN(RADIANS(E497))*COS(RADIANS(E497)))</f>
        <v>0.771834583992348</v>
      </c>
    </row>
    <row r="498" customFormat="false" ht="15" hidden="false" customHeight="false" outlineLevel="0" collapsed="false">
      <c r="A498" s="0" t="n">
        <v>13.372</v>
      </c>
      <c r="B498" s="0" t="n">
        <v>29.77</v>
      </c>
      <c r="C498" s="0" t="n">
        <v>20.945</v>
      </c>
      <c r="D498" s="0" t="n">
        <v>14.649</v>
      </c>
      <c r="E498" s="0" t="n">
        <v>29.554</v>
      </c>
      <c r="F498" s="0" t="n">
        <v>0.1855</v>
      </c>
      <c r="G498" s="12" t="n">
        <f aca="false">(A498+(C498*D498*COS(RADIANS(E498))^2-F498*C498*D498)*TAN(RADIANS(B498)))/(C498*D498*SIN(RADIANS(E498))*COS(RADIANS(E498)))</f>
        <v>0.863080508135936</v>
      </c>
    </row>
    <row r="499" customFormat="false" ht="15" hidden="false" customHeight="false" outlineLevel="0" collapsed="false">
      <c r="A499" s="0" t="n">
        <v>13.863</v>
      </c>
      <c r="B499" s="0" t="n">
        <v>34.876</v>
      </c>
      <c r="C499" s="0" t="n">
        <v>18.795</v>
      </c>
      <c r="D499" s="0" t="n">
        <v>12.361</v>
      </c>
      <c r="E499" s="0" t="n">
        <v>29.515</v>
      </c>
      <c r="F499" s="0" t="n">
        <v>0.2556</v>
      </c>
      <c r="G499" s="12" t="n">
        <f aca="false">(A499+(C499*D499*COS(RADIANS(E499))^2-F499*C499*D499)*TAN(RADIANS(B499)))/(C499*D499*SIN(RADIANS(E499))*COS(RADIANS(E499)))</f>
        <v>0.954811743714875</v>
      </c>
    </row>
    <row r="500" customFormat="false" ht="15" hidden="false" customHeight="false" outlineLevel="0" collapsed="false">
      <c r="A500" s="0" t="n">
        <v>15.741</v>
      </c>
      <c r="B500" s="0" t="n">
        <v>37.32</v>
      </c>
      <c r="C500" s="0" t="n">
        <v>20.013</v>
      </c>
      <c r="D500" s="0" t="n">
        <v>19.841</v>
      </c>
      <c r="E500" s="0" t="n">
        <v>28.572</v>
      </c>
      <c r="F500" s="0" t="n">
        <v>0.1386</v>
      </c>
      <c r="G500" s="12" t="n">
        <f aca="false">(A500+(C500*D500*COS(RADIANS(E500))^2-F500*C500*D500)*TAN(RADIANS(B500)))/(C500*D500*SIN(RADIANS(E500))*COS(RADIANS(E500)))</f>
        <v>1.24268986688387</v>
      </c>
    </row>
    <row r="501" customFormat="false" ht="15" hidden="false" customHeight="false" outlineLevel="0" collapsed="false">
      <c r="A501" s="0" t="n">
        <v>17.477</v>
      </c>
      <c r="B501" s="0" t="n">
        <v>33.801</v>
      </c>
      <c r="C501" s="0" t="n">
        <v>19.764</v>
      </c>
      <c r="D501" s="0" t="n">
        <v>16.4</v>
      </c>
      <c r="E501" s="0" t="n">
        <v>26.881</v>
      </c>
      <c r="F501" s="0" t="n">
        <v>0.2087</v>
      </c>
      <c r="G501" s="12" t="n">
        <f aca="false">(A501+(C501*D501*COS(RADIANS(E501))^2-F501*C501*D501)*TAN(RADIANS(B501)))/(C501*D501*SIN(RADIANS(E501))*COS(RADIANS(E501)))</f>
        <v>1.10792853885364</v>
      </c>
    </row>
    <row r="502" customFormat="false" ht="15" hidden="false" customHeight="false" outlineLevel="0" collapsed="false">
      <c r="A502" s="0" t="n">
        <v>13.643</v>
      </c>
      <c r="B502" s="0" t="n">
        <v>41.657</v>
      </c>
      <c r="C502" s="0" t="n">
        <v>19.815</v>
      </c>
      <c r="D502" s="0" t="n">
        <v>14.229</v>
      </c>
      <c r="E502" s="0" t="n">
        <v>25.546</v>
      </c>
      <c r="F502" s="0" t="n">
        <v>0.1522</v>
      </c>
      <c r="G502" s="12" t="n">
        <f aca="false">(A502+(C502*D502*COS(RADIANS(E502))^2-F502*C502*D502)*TAN(RADIANS(B502)))/(C502*D502*SIN(RADIANS(E502))*COS(RADIANS(E502)))</f>
        <v>1.63764771589347</v>
      </c>
    </row>
    <row r="503" customFormat="false" ht="15" hidden="false" customHeight="false" outlineLevel="0" collapsed="false">
      <c r="A503" s="0" t="n">
        <v>19.255</v>
      </c>
      <c r="B503" s="0" t="n">
        <v>37.606</v>
      </c>
      <c r="C503" s="0" t="n">
        <v>20.872</v>
      </c>
      <c r="D503" s="0" t="n">
        <v>13.14</v>
      </c>
      <c r="E503" s="0" t="n">
        <v>27.276</v>
      </c>
      <c r="F503" s="0" t="n">
        <v>0.1084</v>
      </c>
      <c r="G503" s="12" t="n">
        <f aca="false">(A503+(C503*D503*COS(RADIANS(E503))^2-F503*C503*D503)*TAN(RADIANS(B503)))/(C503*D503*SIN(RADIANS(E503))*COS(RADIANS(E503)))</f>
        <v>1.46127966909385</v>
      </c>
    </row>
    <row r="504" customFormat="false" ht="15" hidden="false" customHeight="false" outlineLevel="0" collapsed="false">
      <c r="A504" s="0" t="n">
        <v>10.432</v>
      </c>
      <c r="B504" s="0" t="n">
        <v>33.722</v>
      </c>
      <c r="C504" s="0" t="n">
        <v>19.563</v>
      </c>
      <c r="D504" s="0" t="n">
        <v>15.744</v>
      </c>
      <c r="E504" s="0" t="n">
        <v>25.503</v>
      </c>
      <c r="F504" s="0" t="n">
        <v>0.2221</v>
      </c>
      <c r="G504" s="12" t="n">
        <f aca="false">(A504+(C504*D504*COS(RADIANS(E504))^2-F504*C504*D504)*TAN(RADIANS(B504)))/(C504*D504*SIN(RADIANS(E504))*COS(RADIANS(E504)))</f>
        <v>1.10487330399258</v>
      </c>
    </row>
    <row r="505" customFormat="false" ht="15" hidden="false" customHeight="false" outlineLevel="0" collapsed="false">
      <c r="A505" s="0" t="n">
        <v>15.025</v>
      </c>
      <c r="B505" s="0" t="n">
        <v>29.934</v>
      </c>
      <c r="C505" s="0" t="n">
        <v>19.195</v>
      </c>
      <c r="D505" s="0" t="n">
        <v>17.148</v>
      </c>
      <c r="E505" s="0" t="n">
        <v>28.296</v>
      </c>
      <c r="F505" s="0" t="n">
        <v>0.2871</v>
      </c>
      <c r="G505" s="12" t="n">
        <f aca="false">(A505+(C505*D505*COS(RADIANS(E505))^2-F505*C505*D505)*TAN(RADIANS(B505)))/(C505*D505*SIN(RADIANS(E505))*COS(RADIANS(E505)))</f>
        <v>0.782871881993526</v>
      </c>
    </row>
    <row r="506" customFormat="false" ht="15" hidden="false" customHeight="false" outlineLevel="0" collapsed="false">
      <c r="A506" s="0" t="n">
        <v>25.391</v>
      </c>
      <c r="B506" s="0" t="n">
        <v>37.319</v>
      </c>
      <c r="C506" s="0" t="n">
        <v>18.862</v>
      </c>
      <c r="D506" s="0" t="n">
        <v>12.42</v>
      </c>
      <c r="E506" s="0" t="n">
        <v>30.047</v>
      </c>
      <c r="F506" s="0" t="n">
        <v>0.2366</v>
      </c>
      <c r="G506" s="12" t="n">
        <f aca="false">(A506+(C506*D506*COS(RADIANS(E506))^2-F506*C506*D506)*TAN(RADIANS(B506)))/(C506*D506*SIN(RADIANS(E506))*COS(RADIANS(E506)))</f>
        <v>1.15180657190221</v>
      </c>
    </row>
    <row r="507" customFormat="false" ht="15" hidden="false" customHeight="false" outlineLevel="0" collapsed="false">
      <c r="A507" s="0" t="n">
        <v>15.892</v>
      </c>
      <c r="B507" s="0" t="n">
        <v>32.609</v>
      </c>
      <c r="C507" s="0" t="n">
        <v>21.479</v>
      </c>
      <c r="D507" s="0" t="n">
        <v>13.896</v>
      </c>
      <c r="E507" s="0" t="n">
        <v>27.821</v>
      </c>
      <c r="F507" s="0" t="n">
        <v>0</v>
      </c>
      <c r="G507" s="12" t="n">
        <f aca="false">(A507+(C507*D507*COS(RADIANS(E507))^2-F507*C507*D507)*TAN(RADIANS(B507)))/(C507*D507*SIN(RADIANS(E507))*COS(RADIANS(E507)))</f>
        <v>1.34130795733001</v>
      </c>
    </row>
    <row r="508" customFormat="false" ht="15" hidden="false" customHeight="false" outlineLevel="0" collapsed="false">
      <c r="A508" s="0" t="n">
        <v>20.733</v>
      </c>
      <c r="B508" s="0" t="n">
        <v>33.396</v>
      </c>
      <c r="C508" s="0" t="n">
        <v>18.232</v>
      </c>
      <c r="D508" s="0" t="n">
        <v>16.64</v>
      </c>
      <c r="E508" s="0" t="n">
        <v>27.577</v>
      </c>
      <c r="F508" s="0" t="n">
        <v>0.182</v>
      </c>
      <c r="G508" s="12" t="n">
        <f aca="false">(A508+(C508*D508*COS(RADIANS(E508))^2-F508*C508*D508)*TAN(RADIANS(B508)))/(C508*D508*SIN(RADIANS(E508))*COS(RADIANS(E508)))</f>
        <v>1.13645060774648</v>
      </c>
    </row>
    <row r="509" customFormat="false" ht="15" hidden="false" customHeight="false" outlineLevel="0" collapsed="false">
      <c r="A509" s="0" t="n">
        <v>15.366</v>
      </c>
      <c r="B509" s="0" t="n">
        <v>32.812</v>
      </c>
      <c r="C509" s="0" t="n">
        <v>20.009</v>
      </c>
      <c r="D509" s="0" t="n">
        <v>17.39</v>
      </c>
      <c r="E509" s="0" t="n">
        <v>30.479</v>
      </c>
      <c r="F509" s="0" t="n">
        <v>0.2399</v>
      </c>
      <c r="G509" s="12" t="n">
        <f aca="false">(A509+(C509*D509*COS(RADIANS(E509))^2-F509*C509*D509)*TAN(RADIANS(B509)))/(C509*D509*SIN(RADIANS(E509))*COS(RADIANS(E509)))</f>
        <v>0.842671146078609</v>
      </c>
    </row>
    <row r="510" customFormat="false" ht="15" hidden="false" customHeight="false" outlineLevel="0" collapsed="false">
      <c r="A510" s="0" t="n">
        <v>17.323</v>
      </c>
      <c r="B510" s="0" t="n">
        <v>31.293</v>
      </c>
      <c r="C510" s="0" t="n">
        <v>20.443</v>
      </c>
      <c r="D510" s="0" t="n">
        <v>16.639</v>
      </c>
      <c r="E510" s="0" t="n">
        <v>26.425</v>
      </c>
      <c r="F510" s="0" t="n">
        <v>0.1408</v>
      </c>
      <c r="G510" s="12" t="n">
        <f aca="false">(A510+(C510*D510*COS(RADIANS(E510))^2-F510*C510*D510)*TAN(RADIANS(B510)))/(C510*D510*SIN(RADIANS(E510))*COS(RADIANS(E510)))</f>
        <v>1.13618791370833</v>
      </c>
    </row>
    <row r="511" customFormat="false" ht="15" hidden="false" customHeight="false" outlineLevel="0" collapsed="false">
      <c r="A511" s="0" t="n">
        <v>14.773</v>
      </c>
      <c r="B511" s="0" t="n">
        <v>33.518</v>
      </c>
      <c r="C511" s="0" t="n">
        <v>19.93</v>
      </c>
      <c r="D511" s="0" t="n">
        <v>18.142</v>
      </c>
      <c r="E511" s="0" t="n">
        <v>30.403</v>
      </c>
      <c r="F511" s="0" t="n">
        <v>0.1649</v>
      </c>
      <c r="G511" s="12" t="n">
        <f aca="false">(A511+(C511*D511*COS(RADIANS(E511))^2-F511*C511*D511)*TAN(RADIANS(B511)))/(C511*D511*SIN(RADIANS(E511))*COS(RADIANS(E511)))</f>
        <v>0.972173719938042</v>
      </c>
    </row>
    <row r="512" customFormat="false" ht="15" hidden="false" customHeight="false" outlineLevel="0" collapsed="false">
      <c r="A512" s="0" t="n">
        <v>14.318</v>
      </c>
      <c r="B512" s="0" t="n">
        <v>33.482</v>
      </c>
      <c r="C512" s="0" t="n">
        <v>20.021</v>
      </c>
      <c r="D512" s="0" t="n">
        <v>18.883</v>
      </c>
      <c r="E512" s="0" t="n">
        <v>26.036</v>
      </c>
      <c r="F512" s="0" t="n">
        <v>0.0876</v>
      </c>
      <c r="G512" s="12" t="n">
        <f aca="false">(A512+(C512*D512*COS(RADIANS(E512))^2-F512*C512*D512)*TAN(RADIANS(B512)))/(C512*D512*SIN(RADIANS(E512))*COS(RADIANS(E512)))</f>
        <v>1.30309470100307</v>
      </c>
    </row>
    <row r="513" customFormat="false" ht="15" hidden="false" customHeight="false" outlineLevel="0" collapsed="false">
      <c r="A513" s="0" t="n">
        <v>11.882</v>
      </c>
      <c r="B513" s="0" t="n">
        <v>32.56</v>
      </c>
      <c r="C513" s="0" t="n">
        <v>19.98</v>
      </c>
      <c r="D513" s="0" t="n">
        <v>14.649</v>
      </c>
      <c r="E513" s="0" t="n">
        <v>27.92</v>
      </c>
      <c r="F513" s="0" t="n">
        <v>0.2278</v>
      </c>
      <c r="G513" s="12" t="n">
        <f aca="false">(A513+(C513*D513*COS(RADIANS(E513))^2-F513*C513*D513)*TAN(RADIANS(B513)))/(C513*D513*SIN(RADIANS(E513))*COS(RADIANS(E513)))</f>
        <v>0.951525511939651</v>
      </c>
    </row>
    <row r="514" customFormat="false" ht="15" hidden="false" customHeight="false" outlineLevel="0" collapsed="false">
      <c r="A514" s="0" t="n">
        <v>16.721</v>
      </c>
      <c r="B514" s="0" t="n">
        <v>33.177</v>
      </c>
      <c r="C514" s="0" t="n">
        <v>19.551</v>
      </c>
      <c r="D514" s="0" t="n">
        <v>14.683</v>
      </c>
      <c r="E514" s="0" t="n">
        <v>26.583</v>
      </c>
      <c r="F514" s="0" t="n">
        <v>0.1858</v>
      </c>
      <c r="G514" s="12" t="n">
        <f aca="false">(A514+(C514*D514*COS(RADIANS(E514))^2-F514*C514*D514)*TAN(RADIANS(B514)))/(C514*D514*SIN(RADIANS(E514))*COS(RADIANS(E514)))</f>
        <v>1.14859286002501</v>
      </c>
    </row>
    <row r="515" customFormat="false" ht="15" hidden="false" customHeight="false" outlineLevel="0" collapsed="false">
      <c r="A515" s="0" t="n">
        <v>11.594</v>
      </c>
      <c r="B515" s="0" t="n">
        <v>40.429</v>
      </c>
      <c r="C515" s="0" t="n">
        <v>20.638</v>
      </c>
      <c r="D515" s="0" t="n">
        <v>14.975</v>
      </c>
      <c r="E515" s="0" t="n">
        <v>29.474</v>
      </c>
      <c r="F515" s="0" t="n">
        <v>0.2197</v>
      </c>
      <c r="G515" s="12" t="n">
        <f aca="false">(A515+(C515*D515*COS(RADIANS(E515))^2-F515*C515*D515)*TAN(RADIANS(B515)))/(C515*D515*SIN(RADIANS(E515))*COS(RADIANS(E515)))</f>
        <v>1.15801449281099</v>
      </c>
    </row>
    <row r="516" customFormat="false" ht="15" hidden="false" customHeight="false" outlineLevel="0" collapsed="false">
      <c r="A516" s="0" t="n">
        <v>17.662</v>
      </c>
      <c r="B516" s="0" t="n">
        <v>37.217</v>
      </c>
      <c r="C516" s="0" t="n">
        <v>17.564</v>
      </c>
      <c r="D516" s="0" t="n">
        <v>11.118</v>
      </c>
      <c r="E516" s="0" t="n">
        <v>25.281</v>
      </c>
      <c r="F516" s="0" t="n">
        <v>0.1606</v>
      </c>
      <c r="G516" s="12" t="n">
        <f aca="false">(A516+(C516*D516*COS(RADIANS(E516))^2-F516*C516*D516)*TAN(RADIANS(B516)))/(C516*D516*SIN(RADIANS(E516))*COS(RADIANS(E516)))</f>
        <v>1.52648021582554</v>
      </c>
    </row>
    <row r="517" customFormat="false" ht="15" hidden="false" customHeight="false" outlineLevel="0" collapsed="false">
      <c r="A517" s="0" t="n">
        <v>19.341</v>
      </c>
      <c r="B517" s="0" t="n">
        <v>34.608</v>
      </c>
      <c r="C517" s="0" t="n">
        <v>20.591</v>
      </c>
      <c r="D517" s="0" t="n">
        <v>14.933</v>
      </c>
      <c r="E517" s="0" t="n">
        <v>27.222</v>
      </c>
      <c r="F517" s="0" t="n">
        <v>0</v>
      </c>
      <c r="G517" s="12" t="n">
        <f aca="false">(A517+(C517*D517*COS(RADIANS(E517))^2-F517*C517*D517)*TAN(RADIANS(B517)))/(C517*D517*SIN(RADIANS(E517))*COS(RADIANS(E517)))</f>
        <v>1.49607687042195</v>
      </c>
    </row>
    <row r="518" customFormat="false" ht="15" hidden="false" customHeight="false" outlineLevel="0" collapsed="false">
      <c r="A518" s="0" t="n">
        <v>16.466</v>
      </c>
      <c r="B518" s="0" t="n">
        <v>29.896</v>
      </c>
      <c r="C518" s="0" t="n">
        <v>21.513</v>
      </c>
      <c r="D518" s="0" t="n">
        <v>13.038</v>
      </c>
      <c r="E518" s="0" t="n">
        <v>24.536</v>
      </c>
      <c r="F518" s="0" t="n">
        <v>0.2183</v>
      </c>
      <c r="G518" s="12" t="n">
        <f aca="false">(A518+(C518*D518*COS(RADIANS(E518))^2-F518*C518*D518)*TAN(RADIANS(B518)))/(C518*D518*SIN(RADIANS(E518))*COS(RADIANS(E518)))</f>
        <v>1.08264105310719</v>
      </c>
    </row>
    <row r="519" customFormat="false" ht="15" hidden="false" customHeight="false" outlineLevel="0" collapsed="false">
      <c r="A519" s="0" t="n">
        <v>13.855</v>
      </c>
      <c r="B519" s="0" t="n">
        <v>36.629</v>
      </c>
      <c r="C519" s="0" t="n">
        <v>19.779</v>
      </c>
      <c r="D519" s="0" t="n">
        <v>15.89</v>
      </c>
      <c r="E519" s="0" t="n">
        <v>29.658</v>
      </c>
      <c r="F519" s="0" t="n">
        <v>0.1877</v>
      </c>
      <c r="G519" s="12" t="n">
        <f aca="false">(A519+(C519*D519*COS(RADIANS(E519))^2-F519*C519*D519)*TAN(RADIANS(B519)))/(C519*D519*SIN(RADIANS(E519))*COS(RADIANS(E519)))</f>
        <v>1.08362541318376</v>
      </c>
    </row>
    <row r="520" customFormat="false" ht="15" hidden="false" customHeight="false" outlineLevel="0" collapsed="false">
      <c r="A520" s="0" t="n">
        <v>16.816</v>
      </c>
      <c r="B520" s="0" t="n">
        <v>40.503</v>
      </c>
      <c r="C520" s="0" t="n">
        <v>20.552</v>
      </c>
      <c r="D520" s="0" t="n">
        <v>11.54</v>
      </c>
      <c r="E520" s="0" t="n">
        <v>29.09</v>
      </c>
      <c r="F520" s="0" t="n">
        <v>0.0584</v>
      </c>
      <c r="G520" s="12" t="n">
        <f aca="false">(A520+(C520*D520*COS(RADIANS(E520))^2-F520*C520*D520)*TAN(RADIANS(B520)))/(C520*D520*SIN(RADIANS(E520))*COS(RADIANS(E520)))</f>
        <v>1.5847470050746</v>
      </c>
    </row>
    <row r="521" customFormat="false" ht="15" hidden="false" customHeight="false" outlineLevel="0" collapsed="false">
      <c r="A521" s="0" t="n">
        <v>13.765</v>
      </c>
      <c r="B521" s="0" t="n">
        <v>40.191</v>
      </c>
      <c r="C521" s="0" t="n">
        <v>19.526</v>
      </c>
      <c r="D521" s="0" t="n">
        <v>14.316</v>
      </c>
      <c r="E521" s="0" t="n">
        <v>27.898</v>
      </c>
      <c r="F521" s="0" t="n">
        <v>0.1632</v>
      </c>
      <c r="G521" s="12" t="n">
        <f aca="false">(A521+(C521*D521*COS(RADIANS(E521))^2-F521*C521*D521)*TAN(RADIANS(B521)))/(C521*D521*SIN(RADIANS(E521))*COS(RADIANS(E521)))</f>
        <v>1.38135149957681</v>
      </c>
    </row>
    <row r="522" customFormat="false" ht="15" hidden="false" customHeight="false" outlineLevel="0" collapsed="false">
      <c r="A522" s="0" t="n">
        <v>18.742</v>
      </c>
      <c r="B522" s="0" t="n">
        <v>34.597</v>
      </c>
      <c r="C522" s="0" t="n">
        <v>20.185</v>
      </c>
      <c r="D522" s="0" t="n">
        <v>10.232</v>
      </c>
      <c r="E522" s="0" t="n">
        <v>28.277</v>
      </c>
      <c r="F522" s="0" t="n">
        <v>0.1424</v>
      </c>
      <c r="G522" s="12" t="n">
        <f aca="false">(A522+(C522*D522*COS(RADIANS(E522))^2-F522*C522*D522)*TAN(RADIANS(B522)))/(C522*D522*SIN(RADIANS(E522))*COS(RADIANS(E522)))</f>
        <v>1.26436190745626</v>
      </c>
    </row>
    <row r="523" customFormat="false" ht="15" hidden="false" customHeight="false" outlineLevel="0" collapsed="false">
      <c r="A523" s="0" t="n">
        <v>7.674</v>
      </c>
      <c r="B523" s="0" t="n">
        <v>36.04</v>
      </c>
      <c r="C523" s="0" t="n">
        <v>18.986</v>
      </c>
      <c r="D523" s="0" t="n">
        <v>17.531</v>
      </c>
      <c r="E523" s="0" t="n">
        <v>29.095</v>
      </c>
      <c r="F523" s="0" t="n">
        <v>0.1466</v>
      </c>
      <c r="G523" s="12" t="n">
        <f aca="false">(A523+(C523*D523*COS(RADIANS(E523))^2-F523*C523*D523)*TAN(RADIANS(B523)))/(C523*D523*SIN(RADIANS(E523))*COS(RADIANS(E523)))</f>
        <v>1.11074558361214</v>
      </c>
    </row>
    <row r="524" customFormat="false" ht="15" hidden="false" customHeight="false" outlineLevel="0" collapsed="false">
      <c r="A524" s="0" t="n">
        <v>13.658</v>
      </c>
      <c r="B524" s="0" t="n">
        <v>31.68</v>
      </c>
      <c r="C524" s="0" t="n">
        <v>19.943</v>
      </c>
      <c r="D524" s="0" t="n">
        <v>11.872</v>
      </c>
      <c r="E524" s="0" t="n">
        <v>29.687</v>
      </c>
      <c r="F524" s="0" t="n">
        <v>0.1665</v>
      </c>
      <c r="G524" s="12" t="n">
        <f aca="false">(A524+(C524*D524*COS(RADIANS(E524))^2-F524*C524*D524)*TAN(RADIANS(B524)))/(C524*D524*SIN(RADIANS(E524))*COS(RADIANS(E524)))</f>
        <v>0.977773301839665</v>
      </c>
    </row>
    <row r="525" customFormat="false" ht="15" hidden="false" customHeight="false" outlineLevel="0" collapsed="false">
      <c r="A525" s="0" t="n">
        <v>7.037</v>
      </c>
      <c r="B525" s="0" t="n">
        <v>35.795</v>
      </c>
      <c r="C525" s="0" t="n">
        <v>20.852</v>
      </c>
      <c r="D525" s="0" t="n">
        <v>11.751</v>
      </c>
      <c r="E525" s="0" t="n">
        <v>28.784</v>
      </c>
      <c r="F525" s="0" t="n">
        <v>0.1127</v>
      </c>
      <c r="G525" s="12" t="n">
        <f aca="false">(A525+(C525*D525*COS(RADIANS(E525))^2-F525*C525*D525)*TAN(RADIANS(B525)))/(C525*D525*SIN(RADIANS(E525))*COS(RADIANS(E525)))</f>
        <v>1.18800864412273</v>
      </c>
    </row>
    <row r="526" customFormat="false" ht="15" hidden="false" customHeight="false" outlineLevel="0" collapsed="false">
      <c r="A526" s="0" t="n">
        <v>9.02</v>
      </c>
      <c r="B526" s="0" t="n">
        <v>37.06</v>
      </c>
      <c r="C526" s="0" t="n">
        <v>18.023</v>
      </c>
      <c r="D526" s="0" t="n">
        <v>13.052</v>
      </c>
      <c r="E526" s="0" t="n">
        <v>27.194</v>
      </c>
      <c r="F526" s="0" t="n">
        <v>0</v>
      </c>
      <c r="G526" s="12" t="n">
        <f aca="false">(A526+(C526*D526*COS(RADIANS(E526))^2-F526*C526*D526)*TAN(RADIANS(B526)))/(C526*D526*SIN(RADIANS(E526))*COS(RADIANS(E526)))</f>
        <v>1.56416410689979</v>
      </c>
    </row>
    <row r="527" customFormat="false" ht="15" hidden="false" customHeight="false" outlineLevel="0" collapsed="false">
      <c r="A527" s="0" t="n">
        <v>20.455</v>
      </c>
      <c r="B527" s="0" t="n">
        <v>36.518</v>
      </c>
      <c r="C527" s="0" t="n">
        <v>19.399</v>
      </c>
      <c r="D527" s="0" t="n">
        <v>14.551</v>
      </c>
      <c r="E527" s="0" t="n">
        <v>27.634</v>
      </c>
      <c r="F527" s="0" t="n">
        <v>0.0246</v>
      </c>
      <c r="G527" s="12" t="n">
        <f aca="false">(A527+(C527*D527*COS(RADIANS(E527))^2-F527*C527*D527)*TAN(RADIANS(B527)))/(C527*D527*SIN(RADIANS(E527))*COS(RADIANS(E527)))</f>
        <v>1.5463230897546</v>
      </c>
    </row>
    <row r="528" customFormat="false" ht="15" hidden="false" customHeight="false" outlineLevel="0" collapsed="false">
      <c r="A528" s="0" t="n">
        <v>18.581</v>
      </c>
      <c r="B528" s="0" t="n">
        <v>38.527</v>
      </c>
      <c r="C528" s="0" t="n">
        <v>19.334</v>
      </c>
      <c r="D528" s="0" t="n">
        <v>15.026</v>
      </c>
      <c r="E528" s="0" t="n">
        <v>27.2</v>
      </c>
      <c r="F528" s="0" t="n">
        <v>0.2687</v>
      </c>
      <c r="G528" s="12" t="n">
        <f aca="false">(A528+(C528*D528*COS(RADIANS(E528))^2-F528*C528*D528)*TAN(RADIANS(B528)))/(C528*D528*SIN(RADIANS(E528))*COS(RADIANS(E528)))</f>
        <v>1.18033706811832</v>
      </c>
    </row>
    <row r="529" customFormat="false" ht="15" hidden="false" customHeight="false" outlineLevel="0" collapsed="false">
      <c r="A529" s="0" t="n">
        <v>12.122</v>
      </c>
      <c r="B529" s="0" t="n">
        <v>36.978</v>
      </c>
      <c r="C529" s="0" t="n">
        <v>22.434</v>
      </c>
      <c r="D529" s="0" t="n">
        <v>12.479</v>
      </c>
      <c r="E529" s="0" t="n">
        <v>28.34</v>
      </c>
      <c r="F529" s="0" t="n">
        <v>0.129</v>
      </c>
      <c r="G529" s="12" t="n">
        <f aca="false">(A529+(C529*D529*COS(RADIANS(E529))^2-F529*C529*D529)*TAN(RADIANS(B529)))/(C529*D529*SIN(RADIANS(E529))*COS(RADIANS(E529)))</f>
        <v>1.2672071163716</v>
      </c>
    </row>
    <row r="530" customFormat="false" ht="15" hidden="false" customHeight="false" outlineLevel="0" collapsed="false">
      <c r="A530" s="0" t="n">
        <v>8.99</v>
      </c>
      <c r="B530" s="0" t="n">
        <v>30.101</v>
      </c>
      <c r="C530" s="0" t="n">
        <v>20.594</v>
      </c>
      <c r="D530" s="0" t="n">
        <v>18.016</v>
      </c>
      <c r="E530" s="0" t="n">
        <v>30.785</v>
      </c>
      <c r="F530" s="0" t="n">
        <v>0.1203</v>
      </c>
      <c r="G530" s="12" t="n">
        <f aca="false">(A530+(C530*D530*COS(RADIANS(E530))^2-F530*C530*D530)*TAN(RADIANS(B530)))/(C530*D530*SIN(RADIANS(E530))*COS(RADIANS(E530)))</f>
        <v>0.869542376921427</v>
      </c>
    </row>
    <row r="531" customFormat="false" ht="15" hidden="false" customHeight="false" outlineLevel="0" collapsed="false">
      <c r="A531" s="0" t="n">
        <v>3.142</v>
      </c>
      <c r="B531" s="0" t="n">
        <v>33.853</v>
      </c>
      <c r="C531" s="0" t="n">
        <v>19.686</v>
      </c>
      <c r="D531" s="0" t="n">
        <v>13.542</v>
      </c>
      <c r="E531" s="0" t="n">
        <v>29.297</v>
      </c>
      <c r="F531" s="0" t="n">
        <v>0.1299</v>
      </c>
      <c r="G531" s="12" t="n">
        <f aca="false">(A531+(C531*D531*COS(RADIANS(E531))^2-F531*C531*D531)*TAN(RADIANS(B531)))/(C531*D531*SIN(RADIANS(E531))*COS(RADIANS(E531)))</f>
        <v>1.01890164802722</v>
      </c>
    </row>
    <row r="532" customFormat="false" ht="15" hidden="false" customHeight="false" outlineLevel="0" collapsed="false">
      <c r="A532" s="0" t="n">
        <v>12.826</v>
      </c>
      <c r="B532" s="0" t="n">
        <v>37.986</v>
      </c>
      <c r="C532" s="0" t="n">
        <v>21.861</v>
      </c>
      <c r="D532" s="0" t="n">
        <v>15.989</v>
      </c>
      <c r="E532" s="0" t="n">
        <v>29.825</v>
      </c>
      <c r="F532" s="0" t="n">
        <v>0.1559</v>
      </c>
      <c r="G532" s="12" t="n">
        <f aca="false">(A532+(C532*D532*COS(RADIANS(E532))^2-F532*C532*D532)*TAN(RADIANS(B532)))/(C532*D532*SIN(RADIANS(E532))*COS(RADIANS(E532)))</f>
        <v>1.16503040417622</v>
      </c>
    </row>
    <row r="533" customFormat="false" ht="15" hidden="false" customHeight="false" outlineLevel="0" collapsed="false">
      <c r="A533" s="0" t="n">
        <v>24.682</v>
      </c>
      <c r="B533" s="0" t="n">
        <v>30.105</v>
      </c>
      <c r="C533" s="0" t="n">
        <v>21.083</v>
      </c>
      <c r="D533" s="0" t="n">
        <v>13.448</v>
      </c>
      <c r="E533" s="0" t="n">
        <v>28.846</v>
      </c>
      <c r="F533" s="0" t="n">
        <v>0.1315</v>
      </c>
      <c r="G533" s="12" t="n">
        <f aca="false">(A533+(C533*D533*COS(RADIANS(E533))^2-F533*C533*D533)*TAN(RADIANS(B533)))/(C533*D533*SIN(RADIANS(E533))*COS(RADIANS(E533)))</f>
        <v>1.07822554306035</v>
      </c>
    </row>
    <row r="534" customFormat="false" ht="15" hidden="false" customHeight="false" outlineLevel="0" collapsed="false">
      <c r="A534" s="0" t="n">
        <v>16.74</v>
      </c>
      <c r="B534" s="0" t="n">
        <v>35.206</v>
      </c>
      <c r="C534" s="0" t="n">
        <v>19.41</v>
      </c>
      <c r="D534" s="0" t="n">
        <v>18.407</v>
      </c>
      <c r="E534" s="0" t="n">
        <v>28.501</v>
      </c>
      <c r="F534" s="0" t="n">
        <v>0.1421</v>
      </c>
      <c r="G534" s="12" t="n">
        <f aca="false">(A534+(C534*D534*COS(RADIANS(E534))^2-F534*C534*D534)*TAN(RADIANS(B534)))/(C534*D534*SIN(RADIANS(E534))*COS(RADIANS(E534)))</f>
        <v>1.1720987586559</v>
      </c>
    </row>
    <row r="535" customFormat="false" ht="15" hidden="false" customHeight="false" outlineLevel="0" collapsed="false">
      <c r="A535" s="0" t="n">
        <v>12.762</v>
      </c>
      <c r="B535" s="0" t="n">
        <v>33.725</v>
      </c>
      <c r="C535" s="0" t="n">
        <v>20.065</v>
      </c>
      <c r="D535" s="0" t="n">
        <v>21.455</v>
      </c>
      <c r="E535" s="0" t="n">
        <v>25.995</v>
      </c>
      <c r="F535" s="0" t="n">
        <v>0.2832</v>
      </c>
      <c r="G535" s="12" t="n">
        <f aca="false">(A535+(C535*D535*COS(RADIANS(E535))^2-F535*C535*D535)*TAN(RADIANS(B535)))/(C535*D535*SIN(RADIANS(E535))*COS(RADIANS(E535)))</f>
        <v>0.964349087275006</v>
      </c>
    </row>
    <row r="536" customFormat="false" ht="15" hidden="false" customHeight="false" outlineLevel="0" collapsed="false">
      <c r="A536" s="0" t="n">
        <v>16.86</v>
      </c>
      <c r="B536" s="0" t="n">
        <v>31.286</v>
      </c>
      <c r="C536" s="0" t="n">
        <v>21.386</v>
      </c>
      <c r="D536" s="0" t="n">
        <v>13.368</v>
      </c>
      <c r="E536" s="0" t="n">
        <v>25.728</v>
      </c>
      <c r="F536" s="0" t="n">
        <v>0.2601</v>
      </c>
      <c r="G536" s="12" t="n">
        <f aca="false">(A536+(C536*D536*COS(RADIANS(E536))^2-F536*C536*D536)*TAN(RADIANS(B536)))/(C536*D536*SIN(RADIANS(E536))*COS(RADIANS(E536)))</f>
        <v>1.00771283871648</v>
      </c>
    </row>
    <row r="537" customFormat="false" ht="15" hidden="false" customHeight="false" outlineLevel="0" collapsed="false">
      <c r="A537" s="0" t="n">
        <v>8.756</v>
      </c>
      <c r="B537" s="0" t="n">
        <v>37.822</v>
      </c>
      <c r="C537" s="0" t="n">
        <v>21.014</v>
      </c>
      <c r="D537" s="0" t="n">
        <v>17.121</v>
      </c>
      <c r="E537" s="0" t="n">
        <v>25.842</v>
      </c>
      <c r="F537" s="0" t="n">
        <v>0.0643</v>
      </c>
      <c r="G537" s="12" t="n">
        <f aca="false">(A537+(C537*D537*COS(RADIANS(E537))^2-F537*C537*D537)*TAN(RADIANS(B537)))/(C537*D537*SIN(RADIANS(E537))*COS(RADIANS(E537)))</f>
        <v>1.5376415419241</v>
      </c>
    </row>
    <row r="538" customFormat="false" ht="15" hidden="false" customHeight="false" outlineLevel="0" collapsed="false">
      <c r="A538" s="0" t="n">
        <v>13.811</v>
      </c>
      <c r="B538" s="0" t="n">
        <v>32.646</v>
      </c>
      <c r="C538" s="0" t="n">
        <v>19.982</v>
      </c>
      <c r="D538" s="0" t="n">
        <v>15.984</v>
      </c>
      <c r="E538" s="0" t="n">
        <v>30.982</v>
      </c>
      <c r="F538" s="0" t="n">
        <v>0.2372</v>
      </c>
      <c r="G538" s="12" t="n">
        <f aca="false">(A538+(C538*D538*COS(RADIANS(E538))^2-F538*C538*D538)*TAN(RADIANS(B538)))/(C538*D538*SIN(RADIANS(E538))*COS(RADIANS(E538)))</f>
        <v>0.820639411997486</v>
      </c>
    </row>
    <row r="539" customFormat="false" ht="15" hidden="false" customHeight="false" outlineLevel="0" collapsed="false">
      <c r="A539" s="0" t="n">
        <v>15.398</v>
      </c>
      <c r="B539" s="0" t="n">
        <v>41.354</v>
      </c>
      <c r="C539" s="0" t="n">
        <v>20.619</v>
      </c>
      <c r="D539" s="0" t="n">
        <v>18.256</v>
      </c>
      <c r="E539" s="0" t="n">
        <v>24.517</v>
      </c>
      <c r="F539" s="0" t="n">
        <v>0.2341</v>
      </c>
      <c r="G539" s="12" t="n">
        <f aca="false">(A539+(C539*D539*COS(RADIANS(E539))^2-F539*C539*D539)*TAN(RADIANS(B539)))/(C539*D539*SIN(RADIANS(E539))*COS(RADIANS(E539)))</f>
        <v>1.49247146451612</v>
      </c>
    </row>
    <row r="540" customFormat="false" ht="15" hidden="false" customHeight="false" outlineLevel="0" collapsed="false">
      <c r="A540" s="0" t="n">
        <v>14.656</v>
      </c>
      <c r="B540" s="0" t="n">
        <v>34.357</v>
      </c>
      <c r="C540" s="0" t="n">
        <v>20.434</v>
      </c>
      <c r="D540" s="0" t="n">
        <v>14.414</v>
      </c>
      <c r="E540" s="0" t="n">
        <v>29.095</v>
      </c>
      <c r="F540" s="0" t="n">
        <v>0.2323</v>
      </c>
      <c r="G540" s="12" t="n">
        <f aca="false">(A540+(C540*D540*COS(RADIANS(E540))^2-F540*C540*D540)*TAN(RADIANS(B540)))/(C540*D540*SIN(RADIANS(E540))*COS(RADIANS(E540)))</f>
        <v>0.971828398286337</v>
      </c>
    </row>
    <row r="541" customFormat="false" ht="15" hidden="false" customHeight="false" outlineLevel="0" collapsed="false">
      <c r="A541" s="0" t="n">
        <v>18.163</v>
      </c>
      <c r="B541" s="0" t="n">
        <v>38.225</v>
      </c>
      <c r="C541" s="0" t="n">
        <v>20.877</v>
      </c>
      <c r="D541" s="0" t="n">
        <v>16.219</v>
      </c>
      <c r="E541" s="0" t="n">
        <v>27.496</v>
      </c>
      <c r="F541" s="0" t="n">
        <v>0.179</v>
      </c>
      <c r="G541" s="12" t="n">
        <f aca="false">(A541+(C541*D541*COS(RADIANS(E541))^2-F541*C541*D541)*TAN(RADIANS(B541)))/(C541*D541*SIN(RADIANS(E541))*COS(RADIANS(E541)))</f>
        <v>1.30000202115638</v>
      </c>
    </row>
    <row r="542" customFormat="false" ht="15" hidden="false" customHeight="false" outlineLevel="0" collapsed="false">
      <c r="A542" s="0" t="n">
        <v>16.379</v>
      </c>
      <c r="B542" s="0" t="n">
        <v>40.034</v>
      </c>
      <c r="C542" s="0" t="n">
        <v>19.326</v>
      </c>
      <c r="D542" s="0" t="n">
        <v>13.408</v>
      </c>
      <c r="E542" s="0" t="n">
        <v>27.931</v>
      </c>
      <c r="F542" s="0" t="n">
        <v>0.4023</v>
      </c>
      <c r="G542" s="12" t="n">
        <f aca="false">(A542+(C542*D542*COS(RADIANS(E542))^2-F542*C542*D542)*TAN(RADIANS(B542)))/(C542*D542*SIN(RADIANS(E542))*COS(RADIANS(E542)))</f>
        <v>0.920681045576145</v>
      </c>
    </row>
    <row r="543" customFormat="false" ht="15" hidden="false" customHeight="false" outlineLevel="0" collapsed="false">
      <c r="A543" s="0" t="n">
        <v>17.673</v>
      </c>
      <c r="B543" s="0" t="n">
        <v>35.987</v>
      </c>
      <c r="C543" s="0" t="n">
        <v>19.092</v>
      </c>
      <c r="D543" s="0" t="n">
        <v>19.605</v>
      </c>
      <c r="E543" s="0" t="n">
        <v>27.22</v>
      </c>
      <c r="F543" s="0" t="n">
        <v>0.2328</v>
      </c>
      <c r="G543" s="12" t="n">
        <f aca="false">(A543+(C543*D543*COS(RADIANS(E543))^2-F543*C543*D543)*TAN(RADIANS(B543)))/(C543*D543*SIN(RADIANS(E543))*COS(RADIANS(E543)))</f>
        <v>1.11226425245917</v>
      </c>
    </row>
    <row r="544" customFormat="false" ht="15" hidden="false" customHeight="false" outlineLevel="0" collapsed="false">
      <c r="A544" s="0" t="n">
        <v>12.247</v>
      </c>
      <c r="B544" s="0" t="n">
        <v>35.253</v>
      </c>
      <c r="C544" s="0" t="n">
        <v>19.99</v>
      </c>
      <c r="D544" s="0" t="n">
        <v>16.961</v>
      </c>
      <c r="E544" s="0" t="n">
        <v>25.44</v>
      </c>
      <c r="F544" s="0" t="n">
        <v>0.0775</v>
      </c>
      <c r="G544" s="12" t="n">
        <f aca="false">(A544+(C544*D544*COS(RADIANS(E544))^2-F544*C544*D544)*TAN(RADIANS(B544)))/(C544*D544*SIN(RADIANS(E544))*COS(RADIANS(E544)))</f>
        <v>1.43776374855838</v>
      </c>
    </row>
    <row r="545" customFormat="false" ht="15" hidden="false" customHeight="false" outlineLevel="0" collapsed="false">
      <c r="A545" s="0" t="n">
        <v>18.591</v>
      </c>
      <c r="B545" s="0" t="n">
        <v>37.305</v>
      </c>
      <c r="C545" s="0" t="n">
        <v>18.417</v>
      </c>
      <c r="D545" s="0" t="n">
        <v>9.942</v>
      </c>
      <c r="E545" s="0" t="n">
        <v>28.496</v>
      </c>
      <c r="F545" s="0" t="n">
        <v>0.0403</v>
      </c>
      <c r="G545" s="12" t="n">
        <f aca="false">(A545+(C545*D545*COS(RADIANS(E545))^2-F545*C545*D545)*TAN(RADIANS(B545)))/(C545*D545*SIN(RADIANS(E545))*COS(RADIANS(E545)))</f>
        <v>1.57246122342414</v>
      </c>
    </row>
    <row r="546" customFormat="false" ht="15" hidden="false" customHeight="false" outlineLevel="0" collapsed="false">
      <c r="A546" s="0" t="n">
        <v>21.516</v>
      </c>
      <c r="B546" s="0" t="n">
        <v>39.968</v>
      </c>
      <c r="C546" s="0" t="n">
        <v>21.695</v>
      </c>
      <c r="D546" s="0" t="n">
        <v>16.28</v>
      </c>
      <c r="E546" s="0" t="n">
        <v>29.066</v>
      </c>
      <c r="F546" s="0" t="n">
        <v>0.2233</v>
      </c>
      <c r="G546" s="12" t="n">
        <f aca="false">(A546+(C546*D546*COS(RADIANS(E546))^2-F546*C546*D546)*TAN(RADIANS(B546)))/(C546*D546*SIN(RADIANS(E546))*COS(RADIANS(E546)))</f>
        <v>1.21066803322376</v>
      </c>
    </row>
    <row r="547" customFormat="false" ht="15" hidden="false" customHeight="false" outlineLevel="0" collapsed="false">
      <c r="A547" s="0" t="n">
        <v>11.119</v>
      </c>
      <c r="B547" s="0" t="n">
        <v>35.977</v>
      </c>
      <c r="C547" s="0" t="n">
        <v>20.278</v>
      </c>
      <c r="D547" s="0" t="n">
        <v>15.007</v>
      </c>
      <c r="E547" s="0" t="n">
        <v>27.912</v>
      </c>
      <c r="F547" s="0" t="n">
        <v>0.2395</v>
      </c>
      <c r="G547" s="12" t="n">
        <f aca="false">(A547+(C547*D547*COS(RADIANS(E547))^2-F547*C547*D547)*TAN(RADIANS(B547)))/(C547*D547*SIN(RADIANS(E547))*COS(RADIANS(E547)))</f>
        <v>1.03837820279934</v>
      </c>
    </row>
    <row r="548" customFormat="false" ht="15" hidden="false" customHeight="false" outlineLevel="0" collapsed="false">
      <c r="A548" s="0" t="n">
        <v>11.449</v>
      </c>
      <c r="B548" s="0" t="n">
        <v>32.9</v>
      </c>
      <c r="C548" s="0" t="n">
        <v>19.168</v>
      </c>
      <c r="D548" s="0" t="n">
        <v>11.826</v>
      </c>
      <c r="E548" s="0" t="n">
        <v>26.247</v>
      </c>
      <c r="F548" s="0" t="n">
        <v>0.0864</v>
      </c>
      <c r="G548" s="12" t="n">
        <f aca="false">(A548+(C548*D548*COS(RADIANS(E548))^2-F548*C548*D548)*TAN(RADIANS(B548)))/(C548*D548*SIN(RADIANS(E548))*COS(RADIANS(E548)))</f>
        <v>1.29843272288629</v>
      </c>
    </row>
    <row r="549" customFormat="false" ht="15" hidden="false" customHeight="false" outlineLevel="0" collapsed="false">
      <c r="A549" s="0" t="n">
        <v>20.343</v>
      </c>
      <c r="B549" s="0" t="n">
        <v>30.679</v>
      </c>
      <c r="C549" s="0" t="n">
        <v>19.669</v>
      </c>
      <c r="D549" s="0" t="n">
        <v>20.558</v>
      </c>
      <c r="E549" s="0" t="n">
        <v>27.941</v>
      </c>
      <c r="F549" s="0" t="n">
        <v>0.0868</v>
      </c>
      <c r="G549" s="12" t="n">
        <f aca="false">(A549+(C549*D549*COS(RADIANS(E549))^2-F549*C549*D549)*TAN(RADIANS(B549)))/(C549*D549*SIN(RADIANS(E549))*COS(RADIANS(E549)))</f>
        <v>1.11567514004061</v>
      </c>
    </row>
    <row r="550" customFormat="false" ht="15" hidden="false" customHeight="false" outlineLevel="0" collapsed="false">
      <c r="A550" s="0" t="n">
        <v>14.235</v>
      </c>
      <c r="B550" s="0" t="n">
        <v>36.035</v>
      </c>
      <c r="C550" s="0" t="n">
        <v>18.241</v>
      </c>
      <c r="D550" s="0" t="n">
        <v>14.182</v>
      </c>
      <c r="E550" s="0" t="n">
        <v>30.15</v>
      </c>
      <c r="F550" s="0" t="n">
        <v>0.2306</v>
      </c>
      <c r="G550" s="12" t="n">
        <f aca="false">(A550+(C550*D550*COS(RADIANS(E550))^2-F550*C550*D550)*TAN(RADIANS(B550)))/(C550*D550*SIN(RADIANS(E550))*COS(RADIANS(E550)))</f>
        <v>0.992885334773814</v>
      </c>
    </row>
    <row r="551" customFormat="false" ht="15" hidden="false" customHeight="false" outlineLevel="0" collapsed="false">
      <c r="A551" s="0" t="n">
        <v>20.615</v>
      </c>
      <c r="B551" s="0" t="n">
        <v>31.977</v>
      </c>
      <c r="C551" s="0" t="n">
        <v>19.576</v>
      </c>
      <c r="D551" s="0" t="n">
        <v>16.016</v>
      </c>
      <c r="E551" s="0" t="n">
        <v>27.504</v>
      </c>
      <c r="F551" s="0" t="n">
        <v>0.1877</v>
      </c>
      <c r="G551" s="12" t="n">
        <f aca="false">(A551+(C551*D551*COS(RADIANS(E551))^2-F551*C551*D551)*TAN(RADIANS(B551)))/(C551*D551*SIN(RADIANS(E551))*COS(RADIANS(E551)))</f>
        <v>1.0735255381932</v>
      </c>
    </row>
    <row r="552" customFormat="false" ht="15" hidden="false" customHeight="false" outlineLevel="0" collapsed="false">
      <c r="A552" s="0" t="n">
        <v>13.23</v>
      </c>
      <c r="B552" s="0" t="n">
        <v>37.777</v>
      </c>
      <c r="C552" s="0" t="n">
        <v>21.273</v>
      </c>
      <c r="D552" s="0" t="n">
        <v>11.146</v>
      </c>
      <c r="E552" s="0" t="n">
        <v>30.467</v>
      </c>
      <c r="F552" s="0" t="n">
        <v>0.2405</v>
      </c>
      <c r="G552" s="12" t="n">
        <f aca="false">(A552+(C552*D552*COS(RADIANS(E552))^2-F552*C552*D552)*TAN(RADIANS(B552)))/(C552*D552*SIN(RADIANS(E552))*COS(RADIANS(E552)))</f>
        <v>1.01865269833905</v>
      </c>
    </row>
    <row r="553" customFormat="false" ht="15" hidden="false" customHeight="false" outlineLevel="0" collapsed="false">
      <c r="A553" s="0" t="n">
        <v>20.82</v>
      </c>
      <c r="B553" s="0" t="n">
        <v>38.786</v>
      </c>
      <c r="C553" s="0" t="n">
        <v>18.177</v>
      </c>
      <c r="D553" s="0" t="n">
        <v>16.63</v>
      </c>
      <c r="E553" s="0" t="n">
        <v>27.159</v>
      </c>
      <c r="F553" s="0" t="n">
        <v>0.1375</v>
      </c>
      <c r="G553" s="12" t="n">
        <f aca="false">(A553+(C553*D553*COS(RADIANS(E553))^2-F553*C553*D553)*TAN(RADIANS(B553)))/(C553*D553*SIN(RADIANS(E553))*COS(RADIANS(E553)))</f>
        <v>1.46394538496796</v>
      </c>
    </row>
    <row r="554" customFormat="false" ht="15" hidden="false" customHeight="false" outlineLevel="0" collapsed="false">
      <c r="A554" s="0" t="n">
        <v>15.526</v>
      </c>
      <c r="B554" s="0" t="n">
        <v>36.75</v>
      </c>
      <c r="C554" s="0" t="n">
        <v>18.621</v>
      </c>
      <c r="D554" s="0" t="n">
        <v>14.855</v>
      </c>
      <c r="E554" s="0" t="n">
        <v>26.113</v>
      </c>
      <c r="F554" s="0" t="n">
        <v>0.1559</v>
      </c>
      <c r="G554" s="12" t="n">
        <f aca="false">(A554+(C554*D554*COS(RADIANS(E554))^2-F554*C554*D554)*TAN(RADIANS(B554)))/(C554*D554*SIN(RADIANS(E554))*COS(RADIANS(E554)))</f>
        <v>1.37085871550878</v>
      </c>
    </row>
    <row r="555" customFormat="false" ht="15" hidden="false" customHeight="false" outlineLevel="0" collapsed="false">
      <c r="A555" s="0" t="n">
        <v>16.033</v>
      </c>
      <c r="B555" s="0" t="n">
        <v>34.826</v>
      </c>
      <c r="C555" s="0" t="n">
        <v>19.864</v>
      </c>
      <c r="D555" s="0" t="n">
        <v>17.98</v>
      </c>
      <c r="E555" s="0" t="n">
        <v>31.657</v>
      </c>
      <c r="F555" s="0" t="n">
        <v>0.1929</v>
      </c>
      <c r="G555" s="12" t="n">
        <f aca="false">(A555+(C555*D555*COS(RADIANS(E555))^2-F555*C555*D555)*TAN(RADIANS(B555)))/(C555*D555*SIN(RADIANS(E555))*COS(RADIANS(E555)))</f>
        <v>0.928403317252701</v>
      </c>
    </row>
    <row r="556" customFormat="false" ht="15" hidden="false" customHeight="false" outlineLevel="0" collapsed="false">
      <c r="A556" s="0" t="n">
        <v>21.259</v>
      </c>
      <c r="B556" s="0" t="n">
        <v>36.852</v>
      </c>
      <c r="C556" s="0" t="n">
        <v>21.449</v>
      </c>
      <c r="D556" s="0" t="n">
        <v>19.873</v>
      </c>
      <c r="E556" s="0" t="n">
        <v>26.48</v>
      </c>
      <c r="F556" s="0" t="n">
        <v>0.2197</v>
      </c>
      <c r="G556" s="12" t="n">
        <f aca="false">(A556+(C556*D556*COS(RADIANS(E556))^2-F556*C556*D556)*TAN(RADIANS(B556)))/(C556*D556*SIN(RADIANS(E556))*COS(RADIANS(E556)))</f>
        <v>1.21697687607253</v>
      </c>
    </row>
    <row r="557" customFormat="false" ht="15" hidden="false" customHeight="false" outlineLevel="0" collapsed="false">
      <c r="A557" s="0" t="n">
        <v>13.553</v>
      </c>
      <c r="B557" s="0" t="n">
        <v>35.085</v>
      </c>
      <c r="C557" s="0" t="n">
        <v>20.219</v>
      </c>
      <c r="D557" s="0" t="n">
        <v>21.103</v>
      </c>
      <c r="E557" s="0" t="n">
        <v>31.632</v>
      </c>
      <c r="F557" s="0" t="n">
        <v>0.2279</v>
      </c>
      <c r="G557" s="12" t="n">
        <f aca="false">(A557+(C557*D557*COS(RADIANS(E557))^2-F557*C557*D557)*TAN(RADIANS(B557)))/(C557*D557*SIN(RADIANS(E557))*COS(RADIANS(E557)))</f>
        <v>0.852983431842487</v>
      </c>
    </row>
    <row r="558" customFormat="false" ht="15" hidden="false" customHeight="false" outlineLevel="0" collapsed="false">
      <c r="A558" s="0" t="n">
        <v>11.236</v>
      </c>
      <c r="B558" s="0" t="n">
        <v>34.217</v>
      </c>
      <c r="C558" s="0" t="n">
        <v>18.889</v>
      </c>
      <c r="D558" s="0" t="n">
        <v>10.828</v>
      </c>
      <c r="E558" s="0" t="n">
        <v>25.623</v>
      </c>
      <c r="F558" s="0" t="n">
        <v>0.1251</v>
      </c>
      <c r="G558" s="12" t="n">
        <f aca="false">(A558+(C558*D558*COS(RADIANS(E558))^2-F558*C558*D558)*TAN(RADIANS(B558)))/(C558*D558*SIN(RADIANS(E558))*COS(RADIANS(E558)))</f>
        <v>1.34058893036289</v>
      </c>
    </row>
    <row r="559" customFormat="false" ht="15" hidden="false" customHeight="false" outlineLevel="0" collapsed="false">
      <c r="A559" s="0" t="n">
        <v>13.206</v>
      </c>
      <c r="B559" s="0" t="n">
        <v>33.689</v>
      </c>
      <c r="C559" s="0" t="n">
        <v>19.906</v>
      </c>
      <c r="D559" s="0" t="n">
        <v>21.772</v>
      </c>
      <c r="E559" s="0" t="n">
        <v>31.308</v>
      </c>
      <c r="F559" s="0" t="n">
        <v>0.0645</v>
      </c>
      <c r="G559" s="12" t="n">
        <f aca="false">(A559+(C559*D559*COS(RADIANS(E559))^2-F559*C559*D559)*TAN(RADIANS(B559)))/(C559*D559*SIN(RADIANS(E559))*COS(RADIANS(E559)))</f>
        <v>1.06786900184534</v>
      </c>
    </row>
    <row r="560" customFormat="false" ht="15" hidden="false" customHeight="false" outlineLevel="0" collapsed="false">
      <c r="A560" s="0" t="n">
        <v>16.809</v>
      </c>
      <c r="B560" s="0" t="n">
        <v>35.35</v>
      </c>
      <c r="C560" s="0" t="n">
        <v>19.662</v>
      </c>
      <c r="D560" s="0" t="n">
        <v>9.951</v>
      </c>
      <c r="E560" s="0" t="n">
        <v>29.32</v>
      </c>
      <c r="F560" s="0" t="n">
        <v>0.0424</v>
      </c>
      <c r="G560" s="12" t="n">
        <f aca="false">(A560+(C560*D560*COS(RADIANS(E560))^2-F560*C560*D560)*TAN(RADIANS(B560)))/(C560*D560*SIN(RADIANS(E560))*COS(RADIANS(E560)))</f>
        <v>1.39378691431342</v>
      </c>
    </row>
    <row r="561" customFormat="false" ht="15" hidden="false" customHeight="false" outlineLevel="0" collapsed="false">
      <c r="A561" s="0" t="n">
        <v>8.737</v>
      </c>
      <c r="B561" s="0" t="n">
        <v>35.057</v>
      </c>
      <c r="C561" s="0" t="n">
        <v>19.261</v>
      </c>
      <c r="D561" s="0" t="n">
        <v>12.154</v>
      </c>
      <c r="E561" s="0" t="n">
        <v>27.666</v>
      </c>
      <c r="F561" s="0" t="n">
        <v>0.2091</v>
      </c>
      <c r="G561" s="12" t="n">
        <f aca="false">(A561+(C561*D561*COS(RADIANS(E561))^2-F561*C561*D561)*TAN(RADIANS(B561)))/(C561*D561*SIN(RADIANS(E561))*COS(RADIANS(E561)))</f>
        <v>1.07241929747229</v>
      </c>
    </row>
    <row r="562" customFormat="false" ht="15" hidden="false" customHeight="false" outlineLevel="0" collapsed="false">
      <c r="A562" s="0" t="n">
        <v>17.55</v>
      </c>
      <c r="B562" s="0" t="n">
        <v>38.735</v>
      </c>
      <c r="C562" s="0" t="n">
        <v>18.742</v>
      </c>
      <c r="D562" s="0" t="n">
        <v>17.968</v>
      </c>
      <c r="E562" s="0" t="n">
        <v>28.451</v>
      </c>
      <c r="F562" s="0" t="n">
        <v>0.1591</v>
      </c>
      <c r="G562" s="12" t="n">
        <f aca="false">(A562+(C562*D562*COS(RADIANS(E562))^2-F562*C562*D562)*TAN(RADIANS(B562)))/(C562*D562*SIN(RADIANS(E562))*COS(RADIANS(E562)))</f>
        <v>1.30013633399332</v>
      </c>
    </row>
    <row r="563" customFormat="false" ht="15" hidden="false" customHeight="false" outlineLevel="0" collapsed="false">
      <c r="A563" s="0" t="n">
        <v>12.845</v>
      </c>
      <c r="B563" s="0" t="n">
        <v>36.723</v>
      </c>
      <c r="C563" s="0" t="n">
        <v>19.827</v>
      </c>
      <c r="D563" s="0" t="n">
        <v>17.349</v>
      </c>
      <c r="E563" s="0" t="n">
        <v>26.922</v>
      </c>
      <c r="F563" s="0" t="n">
        <v>0.0398</v>
      </c>
      <c r="G563" s="12" t="n">
        <f aca="false">(A563+(C563*D563*COS(RADIANS(E563))^2-F563*C563*D563)*TAN(RADIANS(B563)))/(C563*D563*SIN(RADIANS(E563))*COS(RADIANS(E563)))</f>
        <v>1.48800460380534</v>
      </c>
    </row>
    <row r="564" customFormat="false" ht="15" hidden="false" customHeight="false" outlineLevel="0" collapsed="false">
      <c r="A564" s="0" t="n">
        <v>19.591</v>
      </c>
      <c r="B564" s="0" t="n">
        <v>31.033</v>
      </c>
      <c r="C564" s="0" t="n">
        <v>19.424</v>
      </c>
      <c r="D564" s="0" t="n">
        <v>16.408</v>
      </c>
      <c r="E564" s="0" t="n">
        <v>25.375</v>
      </c>
      <c r="F564" s="0" t="n">
        <v>0.1868</v>
      </c>
      <c r="G564" s="12" t="n">
        <f aca="false">(A564+(C564*D564*COS(RADIANS(E564))^2-F564*C564*D564)*TAN(RADIANS(B564)))/(C564*D564*SIN(RADIANS(E564))*COS(RADIANS(E564)))</f>
        <v>1.13698639207805</v>
      </c>
    </row>
    <row r="565" customFormat="false" ht="15" hidden="false" customHeight="false" outlineLevel="0" collapsed="false">
      <c r="A565" s="0" t="n">
        <v>5.423</v>
      </c>
      <c r="B565" s="0" t="n">
        <v>36.504</v>
      </c>
      <c r="C565" s="0" t="n">
        <v>19.148</v>
      </c>
      <c r="D565" s="0" t="n">
        <v>15.125</v>
      </c>
      <c r="E565" s="0" t="n">
        <v>28.971</v>
      </c>
      <c r="F565" s="0" t="n">
        <v>0.1175</v>
      </c>
      <c r="G565" s="12" t="n">
        <f aca="false">(A565+(C565*D565*COS(RADIANS(E565))^2-F565*C565*D565)*TAN(RADIANS(B565)))/(C565*D565*SIN(RADIANS(E565))*COS(RADIANS(E565)))</f>
        <v>1.17569509888108</v>
      </c>
    </row>
    <row r="566" customFormat="false" ht="15" hidden="false" customHeight="false" outlineLevel="0" collapsed="false">
      <c r="A566" s="0" t="n">
        <v>11.854</v>
      </c>
      <c r="B566" s="0" t="n">
        <v>35.292</v>
      </c>
      <c r="C566" s="0" t="n">
        <v>19.87</v>
      </c>
      <c r="D566" s="0" t="n">
        <v>13.053</v>
      </c>
      <c r="E566" s="0" t="n">
        <v>28.151</v>
      </c>
      <c r="F566" s="0" t="n">
        <v>0.2801</v>
      </c>
      <c r="G566" s="12" t="n">
        <f aca="false">(A566+(C566*D566*COS(RADIANS(E566))^2-F566*C566*D566)*TAN(RADIANS(B566)))/(C566*D566*SIN(RADIANS(E566))*COS(RADIANS(E566)))</f>
        <v>0.956072533014989</v>
      </c>
    </row>
    <row r="567" customFormat="false" ht="15" hidden="false" customHeight="false" outlineLevel="0" collapsed="false">
      <c r="A567" s="0" t="n">
        <v>8.254</v>
      </c>
      <c r="B567" s="0" t="n">
        <v>35.861</v>
      </c>
      <c r="C567" s="0" t="n">
        <v>20.202</v>
      </c>
      <c r="D567" s="0" t="n">
        <v>16.709</v>
      </c>
      <c r="E567" s="0" t="n">
        <v>29.365</v>
      </c>
      <c r="F567" s="0" t="n">
        <v>0.1757</v>
      </c>
      <c r="G567" s="12" t="n">
        <f aca="false">(A567+(C567*D567*COS(RADIANS(E567))^2-F567*C567*D567)*TAN(RADIANS(B567)))/(C567*D567*SIN(RADIANS(E567))*COS(RADIANS(E567)))</f>
        <v>1.04471171008995</v>
      </c>
    </row>
    <row r="568" customFormat="false" ht="15" hidden="false" customHeight="false" outlineLevel="0" collapsed="false">
      <c r="A568" s="0" t="n">
        <v>11.695</v>
      </c>
      <c r="B568" s="0" t="n">
        <v>34.268</v>
      </c>
      <c r="C568" s="0" t="n">
        <v>20.056</v>
      </c>
      <c r="D568" s="0" t="n">
        <v>17.332</v>
      </c>
      <c r="E568" s="0" t="n">
        <v>27.207</v>
      </c>
      <c r="F568" s="0" t="n">
        <v>0.0758</v>
      </c>
      <c r="G568" s="12" t="n">
        <f aca="false">(A568+(C568*D568*COS(RADIANS(E568))^2-F568*C568*D568)*TAN(RADIANS(B568)))/(C568*D568*SIN(RADIANS(E568))*COS(RADIANS(E568)))</f>
        <v>1.28106716976475</v>
      </c>
    </row>
    <row r="569" customFormat="false" ht="15" hidden="false" customHeight="false" outlineLevel="0" collapsed="false">
      <c r="A569" s="0" t="n">
        <v>15.991</v>
      </c>
      <c r="B569" s="0" t="n">
        <v>35.121</v>
      </c>
      <c r="C569" s="0" t="n">
        <v>20.018</v>
      </c>
      <c r="D569" s="0" t="n">
        <v>16.009</v>
      </c>
      <c r="E569" s="0" t="n">
        <v>26.246</v>
      </c>
      <c r="F569" s="0" t="n">
        <v>0.1526</v>
      </c>
      <c r="G569" s="12" t="n">
        <f aca="false">(A569+(C569*D569*COS(RADIANS(E569))^2-F569*C569*D569)*TAN(RADIANS(B569)))/(C569*D569*SIN(RADIANS(E569))*COS(RADIANS(E569)))</f>
        <v>1.28172005533463</v>
      </c>
    </row>
    <row r="570" customFormat="false" ht="15" hidden="false" customHeight="false" outlineLevel="0" collapsed="false">
      <c r="A570" s="0" t="n">
        <v>14.283</v>
      </c>
      <c r="B570" s="0" t="n">
        <v>39.953</v>
      </c>
      <c r="C570" s="0" t="n">
        <v>21.391</v>
      </c>
      <c r="D570" s="0" t="n">
        <v>16.355</v>
      </c>
      <c r="E570" s="0" t="n">
        <v>25.877</v>
      </c>
      <c r="F570" s="0" t="n">
        <v>0</v>
      </c>
      <c r="G570" s="12" t="n">
        <f aca="false">(A570+(C570*D570*COS(RADIANS(E570))^2-F570*C570*D570)*TAN(RADIANS(B570)))/(C570*D570*SIN(RADIANS(E570))*COS(RADIANS(E570)))</f>
        <v>1.83091242933787</v>
      </c>
    </row>
    <row r="571" customFormat="false" ht="15" hidden="false" customHeight="false" outlineLevel="0" collapsed="false">
      <c r="A571" s="0" t="n">
        <v>13.986</v>
      </c>
      <c r="B571" s="0" t="n">
        <v>33.915</v>
      </c>
      <c r="C571" s="0" t="n">
        <v>21.426</v>
      </c>
      <c r="D571" s="0" t="n">
        <v>14.592</v>
      </c>
      <c r="E571" s="0" t="n">
        <v>24.296</v>
      </c>
      <c r="F571" s="0" t="n">
        <v>0.1991</v>
      </c>
      <c r="G571" s="12" t="n">
        <f aca="false">(A571+(C571*D571*COS(RADIANS(E571))^2-F571*C571*D571)*TAN(RADIANS(B571)))/(C571*D571*SIN(RADIANS(E571))*COS(RADIANS(E571)))</f>
        <v>1.25169464317008</v>
      </c>
    </row>
    <row r="572" customFormat="false" ht="15" hidden="false" customHeight="false" outlineLevel="0" collapsed="false">
      <c r="A572" s="0" t="n">
        <v>14.363</v>
      </c>
      <c r="B572" s="0" t="n">
        <v>33.103</v>
      </c>
      <c r="C572" s="0" t="n">
        <v>20.732</v>
      </c>
      <c r="D572" s="0" t="n">
        <v>18.788</v>
      </c>
      <c r="E572" s="0" t="n">
        <v>26.773</v>
      </c>
      <c r="F572" s="0" t="n">
        <v>0.2107</v>
      </c>
      <c r="G572" s="12" t="n">
        <f aca="false">(A572+(C572*D572*COS(RADIANS(E572))^2-F572*C572*D572)*TAN(RADIANS(B572)))/(C572*D572*SIN(RADIANS(E572))*COS(RADIANS(E572)))</f>
        <v>1.0423029841952</v>
      </c>
    </row>
    <row r="573" customFormat="false" ht="15" hidden="false" customHeight="false" outlineLevel="0" collapsed="false">
      <c r="A573" s="0" t="n">
        <v>15.814</v>
      </c>
      <c r="B573" s="0" t="n">
        <v>32.912</v>
      </c>
      <c r="C573" s="0" t="n">
        <v>21.397</v>
      </c>
      <c r="D573" s="0" t="n">
        <v>17.322</v>
      </c>
      <c r="E573" s="0" t="n">
        <v>29.684</v>
      </c>
      <c r="F573" s="0" t="n">
        <v>0</v>
      </c>
      <c r="G573" s="12" t="n">
        <f aca="false">(A573+(C573*D573*COS(RADIANS(E573))^2-F573*C573*D573)*TAN(RADIANS(B573)))/(C573*D573*SIN(RADIANS(E573))*COS(RADIANS(E573)))</f>
        <v>1.23461737898677</v>
      </c>
    </row>
    <row r="574" customFormat="false" ht="15" hidden="false" customHeight="false" outlineLevel="0" collapsed="false">
      <c r="A574" s="0" t="n">
        <v>10.966</v>
      </c>
      <c r="B574" s="0" t="n">
        <v>31.811</v>
      </c>
      <c r="C574" s="0" t="n">
        <v>22.638</v>
      </c>
      <c r="D574" s="0" t="n">
        <v>14.884</v>
      </c>
      <c r="E574" s="0" t="n">
        <v>26.222</v>
      </c>
      <c r="F574" s="0" t="n">
        <v>0.2138</v>
      </c>
      <c r="G574" s="12" t="n">
        <f aca="false">(A574+(C574*D574*COS(RADIANS(E574))^2-F574*C574*D574)*TAN(RADIANS(B574)))/(C574*D574*SIN(RADIANS(E574))*COS(RADIANS(E574)))</f>
        <v>1.00691114405825</v>
      </c>
    </row>
    <row r="575" customFormat="false" ht="15" hidden="false" customHeight="false" outlineLevel="0" collapsed="false">
      <c r="A575" s="0" t="n">
        <v>17.827</v>
      </c>
      <c r="B575" s="0" t="n">
        <v>36.817</v>
      </c>
      <c r="C575" s="0" t="n">
        <v>19.673</v>
      </c>
      <c r="D575" s="0" t="n">
        <v>14.58</v>
      </c>
      <c r="E575" s="0" t="n">
        <v>31.362</v>
      </c>
      <c r="F575" s="0" t="n">
        <v>0.1218</v>
      </c>
      <c r="G575" s="12" t="n">
        <f aca="false">(A575+(C575*D575*COS(RADIANS(E575))^2-F575*C575*D575)*TAN(RADIANS(B575)))/(C575*D575*SIN(RADIANS(E575))*COS(RADIANS(E575)))</f>
        <v>1.16285861027916</v>
      </c>
    </row>
    <row r="576" customFormat="false" ht="15" hidden="false" customHeight="false" outlineLevel="0" collapsed="false">
      <c r="A576" s="0" t="n">
        <v>17.651</v>
      </c>
      <c r="B576" s="0" t="n">
        <v>38.536</v>
      </c>
      <c r="C576" s="0" t="n">
        <v>21.432</v>
      </c>
      <c r="D576" s="0" t="n">
        <v>18.41</v>
      </c>
      <c r="E576" s="0" t="n">
        <v>28.089</v>
      </c>
      <c r="F576" s="0" t="n">
        <v>0.0727</v>
      </c>
      <c r="G576" s="12" t="n">
        <f aca="false">(A576+(C576*D576*COS(RADIANS(E576))^2-F576*C576*D576)*TAN(RADIANS(B576)))/(C576*D576*SIN(RADIANS(E576))*COS(RADIANS(E576)))</f>
        <v>1.46063193600881</v>
      </c>
    </row>
    <row r="577" customFormat="false" ht="15" hidden="false" customHeight="false" outlineLevel="0" collapsed="false">
      <c r="A577" s="0" t="n">
        <v>16.54</v>
      </c>
      <c r="B577" s="0" t="n">
        <v>33.227</v>
      </c>
      <c r="C577" s="0" t="n">
        <v>19.679</v>
      </c>
      <c r="D577" s="0" t="n">
        <v>17.553</v>
      </c>
      <c r="E577" s="0" t="n">
        <v>25.438</v>
      </c>
      <c r="F577" s="0" t="n">
        <v>0.1802</v>
      </c>
      <c r="G577" s="12" t="n">
        <f aca="false">(A577+(C577*D577*COS(RADIANS(E577))^2-F577*C577*D577)*TAN(RADIANS(B577)))/(C577*D577*SIN(RADIANS(E577))*COS(RADIANS(E577)))</f>
        <v>1.19631423888263</v>
      </c>
    </row>
    <row r="578" customFormat="false" ht="15" hidden="false" customHeight="false" outlineLevel="0" collapsed="false">
      <c r="A578" s="0" t="n">
        <v>17.226</v>
      </c>
      <c r="B578" s="0" t="n">
        <v>36.602</v>
      </c>
      <c r="C578" s="0" t="n">
        <v>21.106</v>
      </c>
      <c r="D578" s="0" t="n">
        <v>13.245</v>
      </c>
      <c r="E578" s="0" t="n">
        <v>26.641</v>
      </c>
      <c r="F578" s="0" t="n">
        <v>0.1072</v>
      </c>
      <c r="G578" s="12" t="n">
        <f aca="false">(A578+(C578*D578*COS(RADIANS(E578))^2-F578*C578*D578)*TAN(RADIANS(B578)))/(C578*D578*SIN(RADIANS(E578))*COS(RADIANS(E578)))</f>
        <v>1.43562180634367</v>
      </c>
    </row>
    <row r="579" customFormat="false" ht="15" hidden="false" customHeight="false" outlineLevel="0" collapsed="false">
      <c r="A579" s="0" t="n">
        <v>16.186</v>
      </c>
      <c r="B579" s="0" t="n">
        <v>38.119</v>
      </c>
      <c r="C579" s="0" t="n">
        <v>20.972</v>
      </c>
      <c r="D579" s="0" t="n">
        <v>10.717</v>
      </c>
      <c r="E579" s="0" t="n">
        <v>27.699</v>
      </c>
      <c r="F579" s="0" t="n">
        <v>0.1628</v>
      </c>
      <c r="G579" s="12" t="n">
        <f aca="false">(A579+(C579*D579*COS(RADIANS(E579))^2-F579*C579*D579)*TAN(RADIANS(B579)))/(C579*D579*SIN(RADIANS(E579))*COS(RADIANS(E579)))</f>
        <v>1.35917885384678</v>
      </c>
    </row>
    <row r="580" customFormat="false" ht="15" hidden="false" customHeight="false" outlineLevel="0" collapsed="false">
      <c r="A580" s="0" t="n">
        <v>23.14</v>
      </c>
      <c r="B580" s="0" t="n">
        <v>35.687</v>
      </c>
      <c r="C580" s="0" t="n">
        <v>20.367</v>
      </c>
      <c r="D580" s="0" t="n">
        <v>14.042</v>
      </c>
      <c r="E580" s="0" t="n">
        <v>28.493</v>
      </c>
      <c r="F580" s="0" t="n">
        <v>0.1192</v>
      </c>
      <c r="G580" s="12" t="n">
        <f aca="false">(A580+(C580*D580*COS(RADIANS(E580))^2-F580*C580*D580)*TAN(RADIANS(B580)))/(C580*D580*SIN(RADIANS(E580))*COS(RADIANS(E580)))</f>
        <v>1.31198397113086</v>
      </c>
    </row>
    <row r="581" customFormat="false" ht="15" hidden="false" customHeight="false" outlineLevel="0" collapsed="false">
      <c r="A581" s="0" t="n">
        <v>14.652</v>
      </c>
      <c r="B581" s="0" t="n">
        <v>35.062</v>
      </c>
      <c r="C581" s="0" t="n">
        <v>20.683</v>
      </c>
      <c r="D581" s="0" t="n">
        <v>16.883</v>
      </c>
      <c r="E581" s="0" t="n">
        <v>30.38</v>
      </c>
      <c r="F581" s="0" t="n">
        <v>0.1665</v>
      </c>
      <c r="G581" s="12" t="n">
        <f aca="false">(A581+(C581*D581*COS(RADIANS(E581))^2-F581*C581*D581)*TAN(RADIANS(B581)))/(C581*D581*SIN(RADIANS(E581))*COS(RADIANS(E581)))</f>
        <v>1.02552340530175</v>
      </c>
    </row>
    <row r="582" customFormat="false" ht="15" hidden="false" customHeight="false" outlineLevel="0" collapsed="false">
      <c r="A582" s="0" t="n">
        <v>13.772</v>
      </c>
      <c r="B582" s="0" t="n">
        <v>33.034</v>
      </c>
      <c r="C582" s="0" t="n">
        <v>21.156</v>
      </c>
      <c r="D582" s="0" t="n">
        <v>12.202</v>
      </c>
      <c r="E582" s="0" t="n">
        <v>26.465</v>
      </c>
      <c r="F582" s="0" t="n">
        <v>0.0586</v>
      </c>
      <c r="G582" s="12" t="n">
        <f aca="false">(A582+(C582*D582*COS(RADIANS(E582))^2-F582*C582*D582)*TAN(RADIANS(B582)))/(C582*D582*SIN(RADIANS(E582))*COS(RADIANS(E582)))</f>
        <v>1.3444133598607</v>
      </c>
    </row>
    <row r="583" customFormat="false" ht="15" hidden="false" customHeight="false" outlineLevel="0" collapsed="false">
      <c r="A583" s="0" t="n">
        <v>11.986</v>
      </c>
      <c r="B583" s="0" t="n">
        <v>36.871</v>
      </c>
      <c r="C583" s="0" t="n">
        <v>20.486</v>
      </c>
      <c r="D583" s="0" t="n">
        <v>11.161</v>
      </c>
      <c r="E583" s="0" t="n">
        <v>26.511</v>
      </c>
      <c r="F583" s="0" t="n">
        <v>0.2733</v>
      </c>
      <c r="G583" s="12" t="n">
        <f aca="false">(A583+(C583*D583*COS(RADIANS(E583))^2-F583*C583*D583)*TAN(RADIANS(B583)))/(C583*D583*SIN(RADIANS(E583))*COS(RADIANS(E583)))</f>
        <v>1.12166052840366</v>
      </c>
    </row>
    <row r="584" customFormat="false" ht="15" hidden="false" customHeight="false" outlineLevel="0" collapsed="false">
      <c r="A584" s="0" t="n">
        <v>10.871</v>
      </c>
      <c r="B584" s="0" t="n">
        <v>34.293</v>
      </c>
      <c r="C584" s="0" t="n">
        <v>20.985</v>
      </c>
      <c r="D584" s="0" t="n">
        <v>16.223</v>
      </c>
      <c r="E584" s="0" t="n">
        <v>26</v>
      </c>
      <c r="F584" s="0" t="n">
        <v>0.1065</v>
      </c>
      <c r="G584" s="12" t="n">
        <f aca="false">(A584+(C584*D584*COS(RADIANS(E584))^2-F584*C584*D584)*TAN(RADIANS(B584)))/(C584*D584*SIN(RADIANS(E584))*COS(RADIANS(E584)))</f>
        <v>1.29496223973175</v>
      </c>
    </row>
    <row r="585" customFormat="false" ht="15" hidden="false" customHeight="false" outlineLevel="0" collapsed="false">
      <c r="A585" s="0" t="n">
        <v>10.022</v>
      </c>
      <c r="B585" s="0" t="n">
        <v>36.807</v>
      </c>
      <c r="C585" s="0" t="n">
        <v>19.583</v>
      </c>
      <c r="D585" s="0" t="n">
        <v>16.782</v>
      </c>
      <c r="E585" s="0" t="n">
        <v>26.683</v>
      </c>
      <c r="F585" s="0" t="n">
        <v>0.2223</v>
      </c>
      <c r="G585" s="12" t="n">
        <f aca="false">(A585+(C585*D585*COS(RADIANS(E585))^2-F585*C585*D585)*TAN(RADIANS(B585)))/(C585*D585*SIN(RADIANS(E585))*COS(RADIANS(E585)))</f>
        <v>1.15032236010013</v>
      </c>
    </row>
    <row r="586" customFormat="false" ht="15" hidden="false" customHeight="false" outlineLevel="0" collapsed="false">
      <c r="A586" s="0" t="n">
        <v>11.445</v>
      </c>
      <c r="B586" s="0" t="n">
        <v>33.466</v>
      </c>
      <c r="C586" s="0" t="n">
        <v>20.323</v>
      </c>
      <c r="D586" s="0" t="n">
        <v>21.306</v>
      </c>
      <c r="E586" s="0" t="n">
        <v>27.961</v>
      </c>
      <c r="F586" s="0" t="n">
        <v>0.3091</v>
      </c>
      <c r="G586" s="12" t="n">
        <f aca="false">(A586+(C586*D586*COS(RADIANS(E586))^2-F586*C586*D586)*TAN(RADIANS(B586)))/(C586*D586*SIN(RADIANS(E586))*COS(RADIANS(E586)))</f>
        <v>0.815714211046027</v>
      </c>
    </row>
    <row r="587" customFormat="false" ht="15" hidden="false" customHeight="false" outlineLevel="0" collapsed="false">
      <c r="A587" s="0" t="n">
        <v>14.717</v>
      </c>
      <c r="B587" s="0" t="n">
        <v>35.976</v>
      </c>
      <c r="C587" s="0" t="n">
        <v>19.524</v>
      </c>
      <c r="D587" s="0" t="n">
        <v>16.783</v>
      </c>
      <c r="E587" s="0" t="n">
        <v>29.903</v>
      </c>
      <c r="F587" s="0" t="n">
        <v>0.0879</v>
      </c>
      <c r="G587" s="12" t="n">
        <f aca="false">(A587+(C587*D587*COS(RADIANS(E587))^2-F587*C587*D587)*TAN(RADIANS(B587)))/(C587*D587*SIN(RADIANS(E587))*COS(RADIANS(E587)))</f>
        <v>1.21851351938929</v>
      </c>
    </row>
    <row r="588" customFormat="false" ht="15" hidden="false" customHeight="false" outlineLevel="0" collapsed="false">
      <c r="A588" s="0" t="n">
        <v>16.337</v>
      </c>
      <c r="B588" s="0" t="n">
        <v>38.271</v>
      </c>
      <c r="C588" s="0" t="n">
        <v>18.585</v>
      </c>
      <c r="D588" s="0" t="n">
        <v>17.246</v>
      </c>
      <c r="E588" s="0" t="n">
        <v>27.023</v>
      </c>
      <c r="F588" s="0" t="n">
        <v>0.1279</v>
      </c>
      <c r="G588" s="12" t="n">
        <f aca="false">(A588+(C588*D588*COS(RADIANS(E588))^2-F588*C588*D588)*TAN(RADIANS(B588)))/(C588*D588*SIN(RADIANS(E588))*COS(RADIANS(E588)))</f>
        <v>1.42345832108752</v>
      </c>
    </row>
    <row r="589" customFormat="false" ht="15" hidden="false" customHeight="false" outlineLevel="0" collapsed="false">
      <c r="A589" s="0" t="n">
        <v>15.205</v>
      </c>
      <c r="B589" s="0" t="n">
        <v>36.452</v>
      </c>
      <c r="C589" s="0" t="n">
        <v>20.28</v>
      </c>
      <c r="D589" s="0" t="n">
        <v>19.793</v>
      </c>
      <c r="E589" s="0" t="n">
        <v>28.673</v>
      </c>
      <c r="F589" s="0" t="n">
        <v>0.321</v>
      </c>
      <c r="G589" s="12" t="n">
        <f aca="false">(A589+(C589*D589*COS(RADIANS(E589))^2-F589*C589*D589)*TAN(RADIANS(B589)))/(C589*D589*SIN(RADIANS(E589))*COS(RADIANS(E589)))</f>
        <v>0.877444487119507</v>
      </c>
    </row>
    <row r="590" customFormat="false" ht="15" hidden="false" customHeight="false" outlineLevel="0" collapsed="false">
      <c r="A590" s="0" t="n">
        <v>11.938</v>
      </c>
      <c r="B590" s="0" t="n">
        <v>33.092</v>
      </c>
      <c r="C590" s="0" t="n">
        <v>20.707</v>
      </c>
      <c r="D590" s="0" t="n">
        <v>5.219</v>
      </c>
      <c r="E590" s="0" t="n">
        <v>30.168</v>
      </c>
      <c r="F590" s="0" t="n">
        <v>0.1005</v>
      </c>
      <c r="G590" s="12" t="n">
        <f aca="false">(A590+(C590*D590*COS(RADIANS(E590))^2-F590*C590*D590)*TAN(RADIANS(B590)))/(C590*D590*SIN(RADIANS(E590))*COS(RADIANS(E590)))</f>
        <v>1.22466648721708</v>
      </c>
    </row>
    <row r="591" customFormat="false" ht="15" hidden="false" customHeight="false" outlineLevel="0" collapsed="false">
      <c r="A591" s="0" t="n">
        <v>18.601</v>
      </c>
      <c r="B591" s="0" t="n">
        <v>31.715</v>
      </c>
      <c r="C591" s="0" t="n">
        <v>19.775</v>
      </c>
      <c r="D591" s="0" t="n">
        <v>12.846</v>
      </c>
      <c r="E591" s="0" t="n">
        <v>32.266</v>
      </c>
      <c r="F591" s="0" t="n">
        <v>0.1986</v>
      </c>
      <c r="G591" s="12" t="n">
        <f aca="false">(A591+(C591*D591*COS(RADIANS(E591))^2-F591*C591*D591)*TAN(RADIANS(B591)))/(C591*D591*SIN(RADIANS(E591))*COS(RADIANS(E591)))</f>
        <v>0.869155274310363</v>
      </c>
    </row>
    <row r="592" customFormat="false" ht="15" hidden="false" customHeight="false" outlineLevel="0" collapsed="false">
      <c r="A592" s="0" t="n">
        <v>17.958</v>
      </c>
      <c r="B592" s="0" t="n">
        <v>35.214</v>
      </c>
      <c r="C592" s="0" t="n">
        <v>20.261</v>
      </c>
      <c r="D592" s="0" t="n">
        <v>14.274</v>
      </c>
      <c r="E592" s="0" t="n">
        <v>26.378</v>
      </c>
      <c r="F592" s="0" t="n">
        <v>0.1363</v>
      </c>
      <c r="G592" s="12" t="n">
        <f aca="false">(A592+(C592*D592*COS(RADIANS(E592))^2-F592*C592*D592)*TAN(RADIANS(B592)))/(C592*D592*SIN(RADIANS(E592))*COS(RADIANS(E592)))</f>
        <v>1.33749017305084</v>
      </c>
    </row>
    <row r="593" customFormat="false" ht="15" hidden="false" customHeight="false" outlineLevel="0" collapsed="false">
      <c r="A593" s="0" t="n">
        <v>14.361</v>
      </c>
      <c r="B593" s="0" t="n">
        <v>39.166</v>
      </c>
      <c r="C593" s="0" t="n">
        <v>22.763</v>
      </c>
      <c r="D593" s="0" t="n">
        <v>17.895</v>
      </c>
      <c r="E593" s="0" t="n">
        <v>27.264</v>
      </c>
      <c r="F593" s="0" t="n">
        <v>0.1974</v>
      </c>
      <c r="G593" s="12" t="n">
        <f aca="false">(A593+(C593*D593*COS(RADIANS(E593))^2-F593*C593*D593)*TAN(RADIANS(B593)))/(C593*D593*SIN(RADIANS(E593))*COS(RADIANS(E593)))</f>
        <v>1.27236603930059</v>
      </c>
    </row>
    <row r="594" customFormat="false" ht="15" hidden="false" customHeight="false" outlineLevel="0" collapsed="false">
      <c r="A594" s="0" t="n">
        <v>12.388</v>
      </c>
      <c r="B594" s="0" t="n">
        <v>37.375</v>
      </c>
      <c r="C594" s="0" t="n">
        <v>20.203</v>
      </c>
      <c r="D594" s="0" t="n">
        <v>16.119</v>
      </c>
      <c r="E594" s="0" t="n">
        <v>25.712</v>
      </c>
      <c r="F594" s="0" t="n">
        <v>0.0718</v>
      </c>
      <c r="G594" s="12" t="n">
        <f aca="false">(A594+(C594*D594*COS(RADIANS(E594))^2-F594*C594*D594)*TAN(RADIANS(B594)))/(C594*D594*SIN(RADIANS(E594))*COS(RADIANS(E594)))</f>
        <v>1.54335554823492</v>
      </c>
    </row>
    <row r="595" customFormat="false" ht="15" hidden="false" customHeight="false" outlineLevel="0" collapsed="false">
      <c r="A595" s="0" t="n">
        <v>17.194</v>
      </c>
      <c r="B595" s="0" t="n">
        <v>40.934</v>
      </c>
      <c r="C595" s="0" t="n">
        <v>21.321</v>
      </c>
      <c r="D595" s="0" t="n">
        <v>14.574</v>
      </c>
      <c r="E595" s="0" t="n">
        <v>29.145</v>
      </c>
      <c r="F595" s="0" t="n">
        <v>0.137</v>
      </c>
      <c r="G595" s="12" t="n">
        <f aca="false">(A595+(C595*D595*COS(RADIANS(E595))^2-F595*C595*D595)*TAN(RADIANS(B595)))/(C595*D595*SIN(RADIANS(E595))*COS(RADIANS(E595)))</f>
        <v>1.40605200489018</v>
      </c>
    </row>
    <row r="596" customFormat="false" ht="15" hidden="false" customHeight="false" outlineLevel="0" collapsed="false">
      <c r="A596" s="0" t="n">
        <v>15.752</v>
      </c>
      <c r="B596" s="0" t="n">
        <v>43.223</v>
      </c>
      <c r="C596" s="0" t="n">
        <v>20.474</v>
      </c>
      <c r="D596" s="0" t="n">
        <v>10.949</v>
      </c>
      <c r="E596" s="0" t="n">
        <v>30.495</v>
      </c>
      <c r="F596" s="0" t="n">
        <v>0.0723</v>
      </c>
      <c r="G596" s="12" t="n">
        <f aca="false">(A596+(C596*D596*COS(RADIANS(E596))^2-F596*C596*D596)*TAN(RADIANS(B596)))/(C596*D596*SIN(RADIANS(E596))*COS(RADIANS(E596)))</f>
        <v>1.60111721636442</v>
      </c>
    </row>
    <row r="597" customFormat="false" ht="15" hidden="false" customHeight="false" outlineLevel="0" collapsed="false">
      <c r="A597" s="0" t="n">
        <v>9.207</v>
      </c>
      <c r="B597" s="0" t="n">
        <v>34.701</v>
      </c>
      <c r="C597" s="0" t="n">
        <v>20.026</v>
      </c>
      <c r="D597" s="0" t="n">
        <v>15.858</v>
      </c>
      <c r="E597" s="0" t="n">
        <v>31.129</v>
      </c>
      <c r="F597" s="0" t="n">
        <v>0.1132</v>
      </c>
      <c r="G597" s="12" t="n">
        <f aca="false">(A597+(C597*D597*COS(RADIANS(E597))^2-F597*C597*D597)*TAN(RADIANS(B597)))/(C597*D597*SIN(RADIANS(E597))*COS(RADIANS(E597)))</f>
        <v>1.03496995307125</v>
      </c>
    </row>
    <row r="598" customFormat="false" ht="15" hidden="false" customHeight="false" outlineLevel="0" collapsed="false">
      <c r="A598" s="0" t="n">
        <v>14.728</v>
      </c>
      <c r="B598" s="0" t="n">
        <v>36.905</v>
      </c>
      <c r="C598" s="0" t="n">
        <v>19.378</v>
      </c>
      <c r="D598" s="0" t="n">
        <v>10.11</v>
      </c>
      <c r="E598" s="0" t="n">
        <v>26.762</v>
      </c>
      <c r="F598" s="0" t="n">
        <v>0.0662</v>
      </c>
      <c r="G598" s="12" t="n">
        <f aca="false">(A598+(C598*D598*COS(RADIANS(E598))^2-F598*C598*D598)*TAN(RADIANS(B598)))/(C598*D598*SIN(RADIANS(E598))*COS(RADIANS(E598)))</f>
        <v>1.55243013409437</v>
      </c>
    </row>
    <row r="599" customFormat="false" ht="15" hidden="false" customHeight="false" outlineLevel="0" collapsed="false">
      <c r="A599" s="0" t="n">
        <v>16.048</v>
      </c>
      <c r="B599" s="0" t="n">
        <v>34.99</v>
      </c>
      <c r="C599" s="0" t="n">
        <v>19.342</v>
      </c>
      <c r="D599" s="0" t="n">
        <v>17.037</v>
      </c>
      <c r="E599" s="0" t="n">
        <v>28.793</v>
      </c>
      <c r="F599" s="0" t="n">
        <v>0.2471</v>
      </c>
      <c r="G599" s="12" t="n">
        <f aca="false">(A599+(C599*D599*COS(RADIANS(E599))^2-F599*C599*D599)*TAN(RADIANS(B599)))/(C599*D599*SIN(RADIANS(E599))*COS(RADIANS(E599)))</f>
        <v>0.979188368921155</v>
      </c>
    </row>
    <row r="600" customFormat="false" ht="15" hidden="false" customHeight="false" outlineLevel="0" collapsed="false">
      <c r="A600" s="0" t="n">
        <v>11.401</v>
      </c>
      <c r="B600" s="0" t="n">
        <v>33.37</v>
      </c>
      <c r="C600" s="0" t="n">
        <v>18.081</v>
      </c>
      <c r="D600" s="0" t="n">
        <v>14.769</v>
      </c>
      <c r="E600" s="0" t="n">
        <v>28.052</v>
      </c>
      <c r="F600" s="0" t="n">
        <v>0.1273</v>
      </c>
      <c r="G600" s="12" t="n">
        <f aca="false">(A600+(C600*D600*COS(RADIANS(E600))^2-F600*C600*D600)*TAN(RADIANS(B600)))/(C600*D600*SIN(RADIANS(E600))*COS(RADIANS(E600)))</f>
        <v>1.13684257777091</v>
      </c>
    </row>
    <row r="601" customFormat="false" ht="15" hidden="false" customHeight="false" outlineLevel="0" collapsed="false">
      <c r="A601" s="0" t="n">
        <v>15.759</v>
      </c>
      <c r="B601" s="0" t="n">
        <v>36.327</v>
      </c>
      <c r="C601" s="0" t="n">
        <v>19.518</v>
      </c>
      <c r="D601" s="0" t="n">
        <v>11.703</v>
      </c>
      <c r="E601" s="0" t="n">
        <v>25.9</v>
      </c>
      <c r="F601" s="0" t="n">
        <v>0.1991</v>
      </c>
      <c r="G601" s="12" t="n">
        <f aca="false">(A601+(C601*D601*COS(RADIANS(E601))^2-F601*C601*D601)*TAN(RADIANS(B601)))/(C601*D601*SIN(RADIANS(E601))*COS(RADIANS(E601)))</f>
        <v>1.31728938135516</v>
      </c>
    </row>
    <row r="602" customFormat="false" ht="15" hidden="false" customHeight="false" outlineLevel="0" collapsed="false">
      <c r="A602" s="0" t="n">
        <v>9.181</v>
      </c>
      <c r="B602" s="0" t="n">
        <v>35.765</v>
      </c>
      <c r="C602" s="0" t="n">
        <v>17.947</v>
      </c>
      <c r="D602" s="0" t="n">
        <v>9.69</v>
      </c>
      <c r="E602" s="0" t="n">
        <v>25.504</v>
      </c>
      <c r="F602" s="0" t="n">
        <v>0</v>
      </c>
      <c r="G602" s="12" t="n">
        <f aca="false">(A602+(C602*D602*COS(RADIANS(E602))^2-F602*C602*D602)*TAN(RADIANS(B602)))/(C602*D602*SIN(RADIANS(E602))*COS(RADIANS(E602)))</f>
        <v>1.64570544379049</v>
      </c>
    </row>
    <row r="603" customFormat="false" ht="15" hidden="false" customHeight="false" outlineLevel="0" collapsed="false">
      <c r="A603" s="0" t="n">
        <v>20.345</v>
      </c>
      <c r="B603" s="0" t="n">
        <v>34.859</v>
      </c>
      <c r="C603" s="0" t="n">
        <v>20.506</v>
      </c>
      <c r="D603" s="0" t="n">
        <v>14.152</v>
      </c>
      <c r="E603" s="0" t="n">
        <v>30.587</v>
      </c>
      <c r="F603" s="0" t="n">
        <v>0.2752</v>
      </c>
      <c r="G603" s="12" t="n">
        <f aca="false">(A603+(C603*D603*COS(RADIANS(E603))^2-F603*C603*D603)*TAN(RADIANS(B603)))/(C603*D603*SIN(RADIANS(E603))*COS(RADIANS(E603)))</f>
        <v>0.900846935874867</v>
      </c>
    </row>
    <row r="604" customFormat="false" ht="15" hidden="false" customHeight="false" outlineLevel="0" collapsed="false">
      <c r="A604" s="0" t="n">
        <v>19.992</v>
      </c>
      <c r="B604" s="0" t="n">
        <v>33.946</v>
      </c>
      <c r="C604" s="0" t="n">
        <v>20.424</v>
      </c>
      <c r="D604" s="0" t="n">
        <v>19.126</v>
      </c>
      <c r="E604" s="0" t="n">
        <v>27.291</v>
      </c>
      <c r="F604" s="0" t="n">
        <v>0.1979</v>
      </c>
      <c r="G604" s="12" t="n">
        <f aca="false">(A604+(C604*D604*COS(RADIANS(E604))^2-F604*C604*D604)*TAN(RADIANS(B604)))/(C604*D604*SIN(RADIANS(E604))*COS(RADIANS(E604)))</f>
        <v>1.10335750246989</v>
      </c>
    </row>
    <row r="605" customFormat="false" ht="15" hidden="false" customHeight="false" outlineLevel="0" collapsed="false">
      <c r="A605" s="0" t="n">
        <v>13.99</v>
      </c>
      <c r="B605" s="0" t="n">
        <v>35.41</v>
      </c>
      <c r="C605" s="0" t="n">
        <v>20.46</v>
      </c>
      <c r="D605" s="0" t="n">
        <v>12.129</v>
      </c>
      <c r="E605" s="0" t="n">
        <v>30.481</v>
      </c>
      <c r="F605" s="0" t="n">
        <v>0.0474</v>
      </c>
      <c r="G605" s="12" t="n">
        <f aca="false">(A605+(C605*D605*COS(RADIANS(E605))^2-F605*C605*D605)*TAN(RADIANS(B605)))/(C605*D605*SIN(RADIANS(E605))*COS(RADIANS(E605)))</f>
        <v>1.25970329385456</v>
      </c>
    </row>
    <row r="606" customFormat="false" ht="15" hidden="false" customHeight="false" outlineLevel="0" collapsed="false">
      <c r="A606" s="0" t="n">
        <v>16.454</v>
      </c>
      <c r="B606" s="0" t="n">
        <v>33.902</v>
      </c>
      <c r="C606" s="0" t="n">
        <v>19.861</v>
      </c>
      <c r="D606" s="0" t="n">
        <v>11.943</v>
      </c>
      <c r="E606" s="0" t="n">
        <v>27.573</v>
      </c>
      <c r="F606" s="0" t="n">
        <v>0.1901</v>
      </c>
      <c r="G606" s="12" t="n">
        <f aca="false">(A606+(C606*D606*COS(RADIANS(E606))^2-F606*C606*D606)*TAN(RADIANS(B606)))/(C606*D606*SIN(RADIANS(E606))*COS(RADIANS(E606)))</f>
        <v>1.14464404488507</v>
      </c>
    </row>
    <row r="607" customFormat="false" ht="15" hidden="false" customHeight="false" outlineLevel="0" collapsed="false">
      <c r="A607" s="0" t="n">
        <v>5.36</v>
      </c>
      <c r="B607" s="0" t="n">
        <v>34.59</v>
      </c>
      <c r="C607" s="0" t="n">
        <v>20.135</v>
      </c>
      <c r="D607" s="0" t="n">
        <v>13.443</v>
      </c>
      <c r="E607" s="0" t="n">
        <v>31.231</v>
      </c>
      <c r="F607" s="0" t="n">
        <v>0.1828</v>
      </c>
      <c r="G607" s="12" t="n">
        <f aca="false">(A607+(C607*D607*COS(RADIANS(E607))^2-F607*C607*D607)*TAN(RADIANS(B607)))/(C607*D607*SIN(RADIANS(E607))*COS(RADIANS(E607)))</f>
        <v>0.897604982460294</v>
      </c>
    </row>
    <row r="608" customFormat="false" ht="15" hidden="false" customHeight="false" outlineLevel="0" collapsed="false">
      <c r="A608" s="0" t="n">
        <v>10.375</v>
      </c>
      <c r="B608" s="0" t="n">
        <v>31.691</v>
      </c>
      <c r="C608" s="0" t="n">
        <v>19.953</v>
      </c>
      <c r="D608" s="0" t="n">
        <v>16.802</v>
      </c>
      <c r="E608" s="0" t="n">
        <v>26.525</v>
      </c>
      <c r="F608" s="0" t="n">
        <v>0.2394</v>
      </c>
      <c r="G608" s="12" t="n">
        <f aca="false">(A608+(C608*D608*COS(RADIANS(E608))^2-F608*C608*D608)*TAN(RADIANS(B608)))/(C608*D608*SIN(RADIANS(E608))*COS(RADIANS(E608)))</f>
        <v>0.944501480499541</v>
      </c>
    </row>
    <row r="609" customFormat="false" ht="15" hidden="false" customHeight="false" outlineLevel="0" collapsed="false">
      <c r="A609" s="0" t="n">
        <v>13.825</v>
      </c>
      <c r="B609" s="0" t="n">
        <v>32.569</v>
      </c>
      <c r="C609" s="0" t="n">
        <v>20.478</v>
      </c>
      <c r="D609" s="0" t="n">
        <v>16.511</v>
      </c>
      <c r="E609" s="0" t="n">
        <v>28.283</v>
      </c>
      <c r="F609" s="0" t="n">
        <v>0.1333</v>
      </c>
      <c r="G609" s="12" t="n">
        <f aca="false">(A609+(C609*D609*COS(RADIANS(E609))^2-F609*C609*D609)*TAN(RADIANS(B609)))/(C609*D609*SIN(RADIANS(E609))*COS(RADIANS(E609)))</f>
        <v>1.08108900292993</v>
      </c>
    </row>
    <row r="610" customFormat="false" ht="15" hidden="false" customHeight="false" outlineLevel="0" collapsed="false">
      <c r="A610" s="0" t="n">
        <v>10.711</v>
      </c>
      <c r="B610" s="0" t="n">
        <v>33.389</v>
      </c>
      <c r="C610" s="0" t="n">
        <v>20.501</v>
      </c>
      <c r="D610" s="0" t="n">
        <v>14.45</v>
      </c>
      <c r="E610" s="0" t="n">
        <v>26.114</v>
      </c>
      <c r="F610" s="0" t="n">
        <v>0.1552</v>
      </c>
      <c r="G610" s="12" t="n">
        <f aca="false">(A610+(C610*D610*COS(RADIANS(E610))^2-F610*C610*D610)*TAN(RADIANS(B610)))/(C610*D610*SIN(RADIANS(E610))*COS(RADIANS(E610)))</f>
        <v>1.17722785679316</v>
      </c>
    </row>
    <row r="611" customFormat="false" ht="15" hidden="false" customHeight="false" outlineLevel="0" collapsed="false">
      <c r="A611" s="0" t="n">
        <v>17.858</v>
      </c>
      <c r="B611" s="0" t="n">
        <v>35.603</v>
      </c>
      <c r="C611" s="0" t="n">
        <v>19.232</v>
      </c>
      <c r="D611" s="0" t="n">
        <v>15.927</v>
      </c>
      <c r="E611" s="0" t="n">
        <v>25.72</v>
      </c>
      <c r="F611" s="0" t="n">
        <v>0.2741</v>
      </c>
      <c r="G611" s="12" t="n">
        <f aca="false">(A611+(C611*D611*COS(RADIANS(E611))^2-F611*C611*D611)*TAN(RADIANS(B611)))/(C611*D611*SIN(RADIANS(E611))*COS(RADIANS(E611)))</f>
        <v>1.13357674478939</v>
      </c>
    </row>
    <row r="612" customFormat="false" ht="15" hidden="false" customHeight="false" outlineLevel="0" collapsed="false">
      <c r="A612" s="0" t="n">
        <v>22.989</v>
      </c>
      <c r="B612" s="0" t="n">
        <v>35.243</v>
      </c>
      <c r="C612" s="0" t="n">
        <v>21.555</v>
      </c>
      <c r="D612" s="0" t="n">
        <v>14.686</v>
      </c>
      <c r="E612" s="0" t="n">
        <v>28.361</v>
      </c>
      <c r="F612" s="0" t="n">
        <v>0.0547</v>
      </c>
      <c r="G612" s="12" t="n">
        <f aca="false">(A612+(C612*D612*COS(RADIANS(E612))^2-F612*C612*D612)*TAN(RADIANS(B612)))/(C612*D612*SIN(RADIANS(E612))*COS(RADIANS(E612)))</f>
        <v>1.39013548344393</v>
      </c>
    </row>
    <row r="613" customFormat="false" ht="15" hidden="false" customHeight="false" outlineLevel="0" collapsed="false">
      <c r="A613" s="0" t="n">
        <v>10.294</v>
      </c>
      <c r="B613" s="0" t="n">
        <v>33.229</v>
      </c>
      <c r="C613" s="0" t="n">
        <v>20.613</v>
      </c>
      <c r="D613" s="0" t="n">
        <v>13.221</v>
      </c>
      <c r="E613" s="0" t="n">
        <v>29.063</v>
      </c>
      <c r="F613" s="0" t="n">
        <v>0.0596</v>
      </c>
      <c r="G613" s="12" t="n">
        <f aca="false">(A613+(C613*D613*COS(RADIANS(E613))^2-F613*C613*D613)*TAN(RADIANS(B613)))/(C613*D613*SIN(RADIANS(E613))*COS(RADIANS(E613)))</f>
        <v>1.1757871788673</v>
      </c>
    </row>
    <row r="614" customFormat="false" ht="15" hidden="false" customHeight="false" outlineLevel="0" collapsed="false">
      <c r="A614" s="0" t="n">
        <v>11.65</v>
      </c>
      <c r="B614" s="0" t="n">
        <v>33.5</v>
      </c>
      <c r="C614" s="0" t="n">
        <v>18.948</v>
      </c>
      <c r="D614" s="0" t="n">
        <v>13.337</v>
      </c>
      <c r="E614" s="0" t="n">
        <v>31.271</v>
      </c>
      <c r="F614" s="0" t="n">
        <v>0.0866</v>
      </c>
      <c r="G614" s="12" t="n">
        <f aca="false">(A614+(C614*D614*COS(RADIANS(E614))^2-F614*C614*D614)*TAN(RADIANS(B614)))/(C614*D614*SIN(RADIANS(E614))*COS(RADIANS(E614)))</f>
        <v>1.06456640128819</v>
      </c>
    </row>
    <row r="615" customFormat="false" ht="15" hidden="false" customHeight="false" outlineLevel="0" collapsed="false">
      <c r="A615" s="0" t="n">
        <v>15.942</v>
      </c>
      <c r="B615" s="0" t="n">
        <v>35.629</v>
      </c>
      <c r="C615" s="0" t="n">
        <v>20.498</v>
      </c>
      <c r="D615" s="0" t="n">
        <v>12.49</v>
      </c>
      <c r="E615" s="0" t="n">
        <v>26.523</v>
      </c>
      <c r="F615" s="0" t="n">
        <v>0.3149</v>
      </c>
      <c r="G615" s="12" t="n">
        <f aca="false">(A615+(C615*D615*COS(RADIANS(E615))^2-F615*C615*D615)*TAN(RADIANS(B615)))/(C615*D615*SIN(RADIANS(E615))*COS(RADIANS(E615)))</f>
        <v>1.02702711697162</v>
      </c>
    </row>
    <row r="616" customFormat="false" ht="15" hidden="false" customHeight="false" outlineLevel="0" collapsed="false">
      <c r="A616" s="0" t="n">
        <v>21.444</v>
      </c>
      <c r="B616" s="0" t="n">
        <v>33.569</v>
      </c>
      <c r="C616" s="0" t="n">
        <v>21.311</v>
      </c>
      <c r="D616" s="0" t="n">
        <v>8.821</v>
      </c>
      <c r="E616" s="0" t="n">
        <v>32.324</v>
      </c>
      <c r="F616" s="0" t="n">
        <v>0.0524</v>
      </c>
      <c r="G616" s="12" t="n">
        <f aca="false">(A616+(C616*D616*COS(RADIANS(E616))^2-F616*C616*D616)*TAN(RADIANS(B616)))/(C616*D616*SIN(RADIANS(E616))*COS(RADIANS(E616)))</f>
        <v>1.22426944077952</v>
      </c>
    </row>
    <row r="617" customFormat="false" ht="15" hidden="false" customHeight="false" outlineLevel="0" collapsed="false">
      <c r="A617" s="0" t="n">
        <v>10.111</v>
      </c>
      <c r="B617" s="0" t="n">
        <v>32.139</v>
      </c>
      <c r="C617" s="0" t="n">
        <v>18.898</v>
      </c>
      <c r="D617" s="0" t="n">
        <v>14.365</v>
      </c>
      <c r="E617" s="0" t="n">
        <v>25.863</v>
      </c>
      <c r="F617" s="0" t="n">
        <v>0.1463</v>
      </c>
      <c r="G617" s="12" t="n">
        <f aca="false">(A617+(C617*D617*COS(RADIANS(E617))^2-F617*C617*D617)*TAN(RADIANS(B617)))/(C617*D617*SIN(RADIANS(E617))*COS(RADIANS(E617)))</f>
        <v>1.15668498959835</v>
      </c>
    </row>
    <row r="618" customFormat="false" ht="15" hidden="false" customHeight="false" outlineLevel="0" collapsed="false">
      <c r="A618" s="0" t="n">
        <v>15.996</v>
      </c>
      <c r="B618" s="0" t="n">
        <v>37.048</v>
      </c>
      <c r="C618" s="0" t="n">
        <v>17.584</v>
      </c>
      <c r="D618" s="0" t="n">
        <v>13.338</v>
      </c>
      <c r="E618" s="0" t="n">
        <v>26.723</v>
      </c>
      <c r="F618" s="0" t="n">
        <v>0.0934</v>
      </c>
      <c r="G618" s="12" t="n">
        <f aca="false">(A618+(C618*D618*COS(RADIANS(E618))^2-F618*C618*D618)*TAN(RADIANS(B618)))/(C618*D618*SIN(RADIANS(E618))*COS(RADIANS(E618)))</f>
        <v>1.49365806847171</v>
      </c>
    </row>
    <row r="619" customFormat="false" ht="15" hidden="false" customHeight="false" outlineLevel="0" collapsed="false">
      <c r="A619" s="0" t="n">
        <v>22.285</v>
      </c>
      <c r="B619" s="0" t="n">
        <v>30.914</v>
      </c>
      <c r="C619" s="0" t="n">
        <v>18.874</v>
      </c>
      <c r="D619" s="0" t="n">
        <v>12.17</v>
      </c>
      <c r="E619" s="0" t="n">
        <v>29.89</v>
      </c>
      <c r="F619" s="0" t="n">
        <v>0.1545</v>
      </c>
      <c r="G619" s="12" t="n">
        <f aca="false">(A619+(C619*D619*COS(RADIANS(E619))^2-F619*C619*D619)*TAN(RADIANS(B619)))/(C619*D619*SIN(RADIANS(E619))*COS(RADIANS(E619)))</f>
        <v>1.05221920965986</v>
      </c>
    </row>
    <row r="620" customFormat="false" ht="15" hidden="false" customHeight="false" outlineLevel="0" collapsed="false">
      <c r="A620" s="0" t="n">
        <v>8.393</v>
      </c>
      <c r="B620" s="0" t="n">
        <v>31.882</v>
      </c>
      <c r="C620" s="0" t="n">
        <v>21.84</v>
      </c>
      <c r="D620" s="0" t="n">
        <v>15.087</v>
      </c>
      <c r="E620" s="0" t="n">
        <v>28.639</v>
      </c>
      <c r="F620" s="0" t="n">
        <v>0.102</v>
      </c>
      <c r="G620" s="12" t="n">
        <f aca="false">(A620+(C620*D620*COS(RADIANS(E620))^2-F620*C620*D620)*TAN(RADIANS(B620)))/(C620*D620*SIN(RADIANS(E620))*COS(RADIANS(E620)))</f>
        <v>1.04872861174158</v>
      </c>
    </row>
    <row r="621" customFormat="false" ht="15" hidden="false" customHeight="false" outlineLevel="0" collapsed="false">
      <c r="A621" s="0" t="n">
        <v>9.876</v>
      </c>
      <c r="B621" s="0" t="n">
        <v>38.365</v>
      </c>
      <c r="C621" s="0" t="n">
        <v>18.899</v>
      </c>
      <c r="D621" s="0" t="n">
        <v>9.843</v>
      </c>
      <c r="E621" s="0" t="n">
        <v>30.31</v>
      </c>
      <c r="F621" s="0" t="n">
        <v>0.1437</v>
      </c>
      <c r="G621" s="12" t="n">
        <f aca="false">(A621+(C621*D621*COS(RADIANS(E621))^2-F621*C621*D621)*TAN(RADIANS(B621)))/(C621*D621*SIN(RADIANS(E621))*COS(RADIANS(E621)))</f>
        <v>1.21488031769399</v>
      </c>
    </row>
    <row r="622" customFormat="false" ht="15" hidden="false" customHeight="false" outlineLevel="0" collapsed="false">
      <c r="A622" s="0" t="n">
        <v>13.306</v>
      </c>
      <c r="B622" s="0" t="n">
        <v>31.531</v>
      </c>
      <c r="C622" s="0" t="n">
        <v>20.621</v>
      </c>
      <c r="D622" s="0" t="n">
        <v>15.834</v>
      </c>
      <c r="E622" s="0" t="n">
        <v>26.874</v>
      </c>
      <c r="F622" s="0" t="n">
        <v>0.0908</v>
      </c>
      <c r="G622" s="12" t="n">
        <f aca="false">(A622+(C622*D622*COS(RADIANS(E622))^2-F622*C622*D622)*TAN(RADIANS(B622)))/(C622*D622*SIN(RADIANS(E622))*COS(RADIANS(E622)))</f>
        <v>1.17362784666171</v>
      </c>
    </row>
    <row r="623" customFormat="false" ht="15" hidden="false" customHeight="false" outlineLevel="0" collapsed="false">
      <c r="A623" s="0" t="n">
        <v>12.918</v>
      </c>
      <c r="B623" s="0" t="n">
        <v>39.485</v>
      </c>
      <c r="C623" s="0" t="n">
        <v>19.896</v>
      </c>
      <c r="D623" s="0" t="n">
        <v>11.167</v>
      </c>
      <c r="E623" s="0" t="n">
        <v>30.038</v>
      </c>
      <c r="F623" s="0" t="n">
        <v>0.0877</v>
      </c>
      <c r="G623" s="12" t="n">
        <f aca="false">(A623+(C623*D623*COS(RADIANS(E623))^2-F623*C623*D623)*TAN(RADIANS(B623)))/(C623*D623*SIN(RADIANS(E623))*COS(RADIANS(E623)))</f>
        <v>1.39227942005128</v>
      </c>
    </row>
    <row r="624" customFormat="false" ht="15" hidden="false" customHeight="false" outlineLevel="0" collapsed="false">
      <c r="A624" s="0" t="n">
        <v>18.25</v>
      </c>
      <c r="B624" s="0" t="n">
        <v>31.526</v>
      </c>
      <c r="C624" s="0" t="n">
        <v>22.287</v>
      </c>
      <c r="D624" s="0" t="n">
        <v>11.507</v>
      </c>
      <c r="E624" s="0" t="n">
        <v>29.117</v>
      </c>
      <c r="F624" s="0" t="n">
        <v>0.1055</v>
      </c>
      <c r="G624" s="12" t="n">
        <f aca="false">(A624+(C624*D624*COS(RADIANS(E624))^2-F624*C624*D624)*TAN(RADIANS(B624)))/(C624*D624*SIN(RADIANS(E624))*COS(RADIANS(E624)))</f>
        <v>1.11650132793646</v>
      </c>
    </row>
    <row r="625" customFormat="false" ht="15" hidden="false" customHeight="false" outlineLevel="0" collapsed="false">
      <c r="A625" s="0" t="n">
        <v>15.967</v>
      </c>
      <c r="B625" s="0" t="n">
        <v>32.108</v>
      </c>
      <c r="C625" s="0" t="n">
        <v>21.267</v>
      </c>
      <c r="D625" s="0" t="n">
        <v>16.755</v>
      </c>
      <c r="E625" s="0" t="n">
        <v>26.56</v>
      </c>
      <c r="F625" s="0" t="n">
        <v>0.2352</v>
      </c>
      <c r="G625" s="12" t="n">
        <f aca="false">(A625+(C625*D625*COS(RADIANS(E625))^2-F625*C625*D625)*TAN(RADIANS(B625)))/(C625*D625*SIN(RADIANS(E625))*COS(RADIANS(E625)))</f>
        <v>0.998287758821078</v>
      </c>
    </row>
    <row r="626" customFormat="false" ht="15" hidden="false" customHeight="false" outlineLevel="0" collapsed="false">
      <c r="A626" s="0" t="n">
        <v>7.9</v>
      </c>
      <c r="B626" s="0" t="n">
        <v>31.847</v>
      </c>
      <c r="C626" s="0" t="n">
        <v>20.392</v>
      </c>
      <c r="D626" s="0" t="n">
        <v>17.166</v>
      </c>
      <c r="E626" s="0" t="n">
        <v>27.653</v>
      </c>
      <c r="F626" s="0" t="n">
        <v>0.1549</v>
      </c>
      <c r="G626" s="12" t="n">
        <f aca="false">(A626+(C626*D626*COS(RADIANS(E626))^2-F626*C626*D626)*TAN(RADIANS(B626)))/(C626*D626*SIN(RADIANS(E626))*COS(RADIANS(E626)))</f>
        <v>1.00634982694357</v>
      </c>
    </row>
    <row r="627" customFormat="false" ht="15" hidden="false" customHeight="false" outlineLevel="0" collapsed="false">
      <c r="A627" s="0" t="n">
        <v>17.062</v>
      </c>
      <c r="B627" s="0" t="n">
        <v>31.072</v>
      </c>
      <c r="C627" s="0" t="n">
        <v>19.611</v>
      </c>
      <c r="D627" s="0" t="n">
        <v>15.611</v>
      </c>
      <c r="E627" s="0" t="n">
        <v>29.558</v>
      </c>
      <c r="F627" s="0" t="n">
        <v>0.0865</v>
      </c>
      <c r="G627" s="12" t="n">
        <f aca="false">(A627+(C627*D627*COS(RADIANS(E627))^2-F627*C627*D627)*TAN(RADIANS(B627)))/(C627*D627*SIN(RADIANS(E627))*COS(RADIANS(E627)))</f>
        <v>1.07094191651648</v>
      </c>
    </row>
    <row r="628" customFormat="false" ht="15" hidden="false" customHeight="false" outlineLevel="0" collapsed="false">
      <c r="A628" s="0" t="n">
        <v>12.69</v>
      </c>
      <c r="B628" s="0" t="n">
        <v>39.194</v>
      </c>
      <c r="C628" s="0" t="n">
        <v>21.046</v>
      </c>
      <c r="D628" s="0" t="n">
        <v>17.057</v>
      </c>
      <c r="E628" s="0" t="n">
        <v>27.716</v>
      </c>
      <c r="F628" s="0" t="n">
        <v>0.0803</v>
      </c>
      <c r="G628" s="12" t="n">
        <f aca="false">(A628+(C628*D628*COS(RADIANS(E628))^2-F628*C628*D628)*TAN(RADIANS(B628)))/(C628*D628*SIN(RADIANS(E628))*COS(RADIANS(E628)))</f>
        <v>1.47889329266185</v>
      </c>
    </row>
    <row r="629" customFormat="false" ht="15" hidden="false" customHeight="false" outlineLevel="0" collapsed="false">
      <c r="A629" s="0" t="n">
        <v>20.098</v>
      </c>
      <c r="B629" s="0" t="n">
        <v>38.605</v>
      </c>
      <c r="C629" s="0" t="n">
        <v>18.139</v>
      </c>
      <c r="D629" s="0" t="n">
        <v>15.468</v>
      </c>
      <c r="E629" s="0" t="n">
        <v>29.719</v>
      </c>
      <c r="F629" s="0" t="n">
        <v>0.0359</v>
      </c>
      <c r="G629" s="12" t="n">
        <f aca="false">(A629+(C629*D629*COS(RADIANS(E629))^2-F629*C629*D629)*TAN(RADIANS(B629)))/(C629*D629*SIN(RADIANS(E629))*COS(RADIANS(E629)))</f>
        <v>1.49852334518991</v>
      </c>
    </row>
    <row r="630" customFormat="false" ht="15" hidden="false" customHeight="false" outlineLevel="0" collapsed="false">
      <c r="A630" s="0" t="n">
        <v>12.49</v>
      </c>
      <c r="B630" s="0" t="n">
        <v>30.826</v>
      </c>
      <c r="C630" s="0" t="n">
        <v>19.271</v>
      </c>
      <c r="D630" s="0" t="n">
        <v>18.873</v>
      </c>
      <c r="E630" s="0" t="n">
        <v>30.508</v>
      </c>
      <c r="F630" s="0" t="n">
        <v>0.1631</v>
      </c>
      <c r="G630" s="12" t="n">
        <f aca="false">(A630+(C630*D630*COS(RADIANS(E630))^2-F630*C630*D630)*TAN(RADIANS(B630)))/(C630*D630*SIN(RADIANS(E630))*COS(RADIANS(E630)))</f>
        <v>0.868722797595496</v>
      </c>
    </row>
    <row r="631" customFormat="false" ht="15" hidden="false" customHeight="false" outlineLevel="0" collapsed="false">
      <c r="A631" s="0" t="n">
        <v>12.454</v>
      </c>
      <c r="B631" s="0" t="n">
        <v>39.726</v>
      </c>
      <c r="C631" s="0" t="n">
        <v>20.276</v>
      </c>
      <c r="D631" s="0" t="n">
        <v>14.798</v>
      </c>
      <c r="E631" s="0" t="n">
        <v>28.016</v>
      </c>
      <c r="F631" s="0" t="n">
        <v>0.205</v>
      </c>
      <c r="G631" s="12" t="n">
        <f aca="false">(A631+(C631*D631*COS(RADIANS(E631))^2-F631*C631*D631)*TAN(RADIANS(B631)))/(C631*D631*SIN(RADIANS(E631))*COS(RADIANS(E631)))</f>
        <v>1.25108757694283</v>
      </c>
    </row>
    <row r="632" customFormat="false" ht="15" hidden="false" customHeight="false" outlineLevel="0" collapsed="false">
      <c r="A632" s="0" t="n">
        <v>17.165</v>
      </c>
      <c r="B632" s="0" t="n">
        <v>31.331</v>
      </c>
      <c r="C632" s="0" t="n">
        <v>18.319</v>
      </c>
      <c r="D632" s="0" t="n">
        <v>12.317</v>
      </c>
      <c r="E632" s="0" t="n">
        <v>26.697</v>
      </c>
      <c r="F632" s="0" t="n">
        <v>0.0978</v>
      </c>
      <c r="G632" s="12" t="n">
        <f aca="false">(A632+(C632*D632*COS(RADIANS(E632))^2-F632*C632*D632)*TAN(RADIANS(B632)))/(C632*D632*SIN(RADIANS(E632))*COS(RADIANS(E632)))</f>
        <v>1.25172811217741</v>
      </c>
    </row>
    <row r="633" customFormat="false" ht="15" hidden="false" customHeight="false" outlineLevel="0" collapsed="false">
      <c r="A633" s="0" t="n">
        <v>18.052</v>
      </c>
      <c r="B633" s="0" t="n">
        <v>43.894</v>
      </c>
      <c r="C633" s="0" t="n">
        <v>20</v>
      </c>
      <c r="D633" s="0" t="n">
        <v>12.486</v>
      </c>
      <c r="E633" s="0" t="n">
        <v>26.563</v>
      </c>
      <c r="F633" s="0" t="n">
        <v>0.0037</v>
      </c>
      <c r="G633" s="12" t="n">
        <f aca="false">(A633+(C633*D633*COS(RADIANS(E633))^2-F633*C633*D633)*TAN(RADIANS(B633)))/(C633*D633*SIN(RADIANS(E633))*COS(RADIANS(E633)))</f>
        <v>2.09624391088603</v>
      </c>
    </row>
    <row r="634" customFormat="false" ht="15" hidden="false" customHeight="false" outlineLevel="0" collapsed="false">
      <c r="A634" s="0" t="n">
        <v>16.792</v>
      </c>
      <c r="B634" s="0" t="n">
        <v>34.565</v>
      </c>
      <c r="C634" s="0" t="n">
        <v>18.352</v>
      </c>
      <c r="D634" s="0" t="n">
        <v>13.493</v>
      </c>
      <c r="E634" s="0" t="n">
        <v>28.091</v>
      </c>
      <c r="F634" s="0" t="n">
        <v>0.3015</v>
      </c>
      <c r="G634" s="12" t="n">
        <f aca="false">(A634+(C634*D634*COS(RADIANS(E634))^2-F634*C634*D634)*TAN(RADIANS(B634)))/(C634*D634*SIN(RADIANS(E634))*COS(RADIANS(E634)))</f>
        <v>0.953985731097542</v>
      </c>
    </row>
    <row r="635" customFormat="false" ht="15" hidden="false" customHeight="false" outlineLevel="0" collapsed="false">
      <c r="A635" s="0" t="n">
        <v>8.258</v>
      </c>
      <c r="B635" s="0" t="n">
        <v>33.206</v>
      </c>
      <c r="C635" s="0" t="n">
        <v>20.231</v>
      </c>
      <c r="D635" s="0" t="n">
        <v>13.27</v>
      </c>
      <c r="E635" s="0" t="n">
        <v>30.11</v>
      </c>
      <c r="F635" s="0" t="n">
        <v>0.2049</v>
      </c>
      <c r="G635" s="12" t="n">
        <f aca="false">(A635+(C635*D635*COS(RADIANS(E635))^2-F635*C635*D635)*TAN(RADIANS(B635)))/(C635*D635*SIN(RADIANS(E635))*COS(RADIANS(E635)))</f>
        <v>0.890513253696356</v>
      </c>
    </row>
    <row r="636" customFormat="false" ht="15" hidden="false" customHeight="false" outlineLevel="0" collapsed="false">
      <c r="A636" s="0" t="n">
        <v>17.152</v>
      </c>
      <c r="B636" s="0" t="n">
        <v>36.504</v>
      </c>
      <c r="C636" s="0" t="n">
        <v>19.785</v>
      </c>
      <c r="D636" s="0" t="n">
        <v>16.183</v>
      </c>
      <c r="E636" s="0" t="n">
        <v>29.031</v>
      </c>
      <c r="F636" s="0" t="n">
        <v>0.2283</v>
      </c>
      <c r="G636" s="12" t="n">
        <f aca="false">(A636+(C636*D636*COS(RADIANS(E636))^2-F636*C636*D636)*TAN(RADIANS(B636)))/(C636*D636*SIN(RADIANS(E636))*COS(RADIANS(E636)))</f>
        <v>1.06147568236123</v>
      </c>
    </row>
    <row r="637" customFormat="false" ht="15" hidden="false" customHeight="false" outlineLevel="0" collapsed="false">
      <c r="A637" s="0" t="n">
        <v>10.863</v>
      </c>
      <c r="B637" s="0" t="n">
        <v>32.369</v>
      </c>
      <c r="C637" s="0" t="n">
        <v>19.803</v>
      </c>
      <c r="D637" s="0" t="n">
        <v>13.532</v>
      </c>
      <c r="E637" s="0" t="n">
        <v>28.824</v>
      </c>
      <c r="F637" s="0" t="n">
        <v>0.2103</v>
      </c>
      <c r="G637" s="12" t="n">
        <f aca="false">(A637+(C637*D637*COS(RADIANS(E637))^2-F637*C637*D637)*TAN(RADIANS(B637)))/(C637*D637*SIN(RADIANS(E637))*COS(RADIANS(E637)))</f>
        <v>0.932228584886113</v>
      </c>
    </row>
    <row r="638" customFormat="false" ht="15" hidden="false" customHeight="false" outlineLevel="0" collapsed="false">
      <c r="A638" s="0" t="n">
        <v>15.941</v>
      </c>
      <c r="B638" s="0" t="n">
        <v>30.767</v>
      </c>
      <c r="C638" s="0" t="n">
        <v>20.295</v>
      </c>
      <c r="D638" s="0" t="n">
        <v>13.131</v>
      </c>
      <c r="E638" s="0" t="n">
        <v>26.09</v>
      </c>
      <c r="F638" s="0" t="n">
        <v>0.1395</v>
      </c>
      <c r="G638" s="12" t="n">
        <f aca="false">(A638+(C638*D638*COS(RADIANS(E638))^2-F638*C638*D638)*TAN(RADIANS(B638)))/(C638*D638*SIN(RADIANS(E638))*COS(RADIANS(E638)))</f>
        <v>1.15695544914078</v>
      </c>
    </row>
    <row r="639" customFormat="false" ht="15" hidden="false" customHeight="false" outlineLevel="0" collapsed="false">
      <c r="A639" s="0" t="n">
        <v>9.305</v>
      </c>
      <c r="B639" s="0" t="n">
        <v>33.699</v>
      </c>
      <c r="C639" s="0" t="n">
        <v>19.887</v>
      </c>
      <c r="D639" s="0" t="n">
        <v>14.45</v>
      </c>
      <c r="E639" s="0" t="n">
        <v>25.241</v>
      </c>
      <c r="F639" s="0" t="n">
        <v>0.0738</v>
      </c>
      <c r="G639" s="12" t="n">
        <f aca="false">(A639+(C639*D639*COS(RADIANS(E639))^2-F639*C639*D639)*TAN(RADIANS(B639)))/(C639*D639*SIN(RADIANS(E639))*COS(RADIANS(E639)))</f>
        <v>1.37093875825237</v>
      </c>
    </row>
    <row r="640" customFormat="false" ht="15" hidden="false" customHeight="false" outlineLevel="0" collapsed="false">
      <c r="A640" s="0" t="n">
        <v>16.785</v>
      </c>
      <c r="B640" s="0" t="n">
        <v>35.252</v>
      </c>
      <c r="C640" s="0" t="n">
        <v>20.749</v>
      </c>
      <c r="D640" s="0" t="n">
        <v>13.57</v>
      </c>
      <c r="E640" s="0" t="n">
        <v>28.885</v>
      </c>
      <c r="F640" s="0" t="n">
        <v>0.1052</v>
      </c>
      <c r="G640" s="12" t="n">
        <f aca="false">(A640+(C640*D640*COS(RADIANS(E640))^2-F640*C640*D640)*TAN(RADIANS(B640)))/(C640*D640*SIN(RADIANS(E640))*COS(RADIANS(E640)))</f>
        <v>1.24627683366192</v>
      </c>
    </row>
    <row r="641" customFormat="false" ht="15" hidden="false" customHeight="false" outlineLevel="0" collapsed="false">
      <c r="A641" s="0" t="n">
        <v>11.774</v>
      </c>
      <c r="B641" s="0" t="n">
        <v>28.52</v>
      </c>
      <c r="C641" s="0" t="n">
        <v>18.939</v>
      </c>
      <c r="D641" s="0" t="n">
        <v>14.797</v>
      </c>
      <c r="E641" s="0" t="n">
        <v>25.524</v>
      </c>
      <c r="F641" s="0" t="n">
        <v>0.1271</v>
      </c>
      <c r="G641" s="12" t="n">
        <f aca="false">(A641+(C641*D641*COS(RADIANS(E641))^2-F641*C641*D641)*TAN(RADIANS(B641)))/(C641*D641*SIN(RADIANS(E641))*COS(RADIANS(E641)))</f>
        <v>1.0684762561738</v>
      </c>
    </row>
    <row r="642" customFormat="false" ht="15" hidden="false" customHeight="false" outlineLevel="0" collapsed="false">
      <c r="A642" s="0" t="n">
        <v>9.869</v>
      </c>
      <c r="B642" s="0" t="n">
        <v>32.318</v>
      </c>
      <c r="C642" s="0" t="n">
        <v>18.431</v>
      </c>
      <c r="D642" s="0" t="n">
        <v>19.11</v>
      </c>
      <c r="E642" s="0" t="n">
        <v>29.15</v>
      </c>
      <c r="F642" s="0" t="n">
        <v>0.1865</v>
      </c>
      <c r="G642" s="12" t="n">
        <f aca="false">(A642+(C642*D642*COS(RADIANS(E642))^2-F642*C642*D642)*TAN(RADIANS(B642)))/(C642*D642*SIN(RADIANS(E642))*COS(RADIANS(E642)))</f>
        <v>0.922776620302807</v>
      </c>
    </row>
    <row r="643" customFormat="false" ht="15" hidden="false" customHeight="false" outlineLevel="0" collapsed="false">
      <c r="A643" s="0" t="n">
        <v>17.855</v>
      </c>
      <c r="B643" s="0" t="n">
        <v>40.865</v>
      </c>
      <c r="C643" s="0" t="n">
        <v>21.555</v>
      </c>
      <c r="D643" s="0" t="n">
        <v>18.735</v>
      </c>
      <c r="E643" s="0" t="n">
        <v>26.893</v>
      </c>
      <c r="F643" s="0" t="n">
        <v>0.1678</v>
      </c>
      <c r="G643" s="12" t="n">
        <f aca="false">(A643+(C643*D643*COS(RADIANS(E643))^2-F643*C643*D643)*TAN(RADIANS(B643)))/(C643*D643*SIN(RADIANS(E643))*COS(RADIANS(E643)))</f>
        <v>1.45556992231692</v>
      </c>
    </row>
    <row r="644" customFormat="false" ht="15" hidden="false" customHeight="false" outlineLevel="0" collapsed="false">
      <c r="A644" s="0" t="n">
        <v>15.967</v>
      </c>
      <c r="B644" s="0" t="n">
        <v>34.98</v>
      </c>
      <c r="C644" s="0" t="n">
        <v>19.148</v>
      </c>
      <c r="D644" s="0" t="n">
        <v>15.133</v>
      </c>
      <c r="E644" s="0" t="n">
        <v>24.73</v>
      </c>
      <c r="F644" s="0" t="n">
        <v>0.1749</v>
      </c>
      <c r="G644" s="12" t="n">
        <f aca="false">(A644+(C644*D644*COS(RADIANS(E644))^2-F644*C644*D644)*TAN(RADIANS(B644)))/(C644*D644*SIN(RADIANS(E644))*COS(RADIANS(E644)))</f>
        <v>1.34209023756347</v>
      </c>
    </row>
    <row r="645" customFormat="false" ht="15" hidden="false" customHeight="false" outlineLevel="0" collapsed="false">
      <c r="A645" s="0" t="n">
        <v>12.544</v>
      </c>
      <c r="B645" s="0" t="n">
        <v>27.814</v>
      </c>
      <c r="C645" s="0" t="n">
        <v>19.715</v>
      </c>
      <c r="D645" s="0" t="n">
        <v>15.029</v>
      </c>
      <c r="E645" s="0" t="n">
        <v>29.007</v>
      </c>
      <c r="F645" s="0" t="n">
        <v>0.2062</v>
      </c>
      <c r="G645" s="12" t="n">
        <f aca="false">(A645+(C645*D645*COS(RADIANS(E645))^2-F645*C645*D645)*TAN(RADIANS(B645)))/(C645*D645*SIN(RADIANS(E645))*COS(RADIANS(E645)))</f>
        <v>0.794777726887191</v>
      </c>
    </row>
    <row r="646" customFormat="false" ht="15" hidden="false" customHeight="false" outlineLevel="0" collapsed="false">
      <c r="A646" s="0" t="n">
        <v>20.805</v>
      </c>
      <c r="B646" s="0" t="n">
        <v>35.01</v>
      </c>
      <c r="C646" s="0" t="n">
        <v>20.685</v>
      </c>
      <c r="D646" s="0" t="n">
        <v>16.84</v>
      </c>
      <c r="E646" s="0" t="n">
        <v>30.494</v>
      </c>
      <c r="F646" s="0" t="n">
        <v>0.1307</v>
      </c>
      <c r="G646" s="12" t="n">
        <f aca="false">(A646+(C646*D646*COS(RADIANS(E646))^2-F646*C646*D646)*TAN(RADIANS(B646)))/(C646*D646*SIN(RADIANS(E646))*COS(RADIANS(E646)))</f>
        <v>1.11666182487782</v>
      </c>
    </row>
    <row r="647" customFormat="false" ht="15" hidden="false" customHeight="false" outlineLevel="0" collapsed="false">
      <c r="A647" s="0" t="n">
        <v>13.237</v>
      </c>
      <c r="B647" s="0" t="n">
        <v>36.079</v>
      </c>
      <c r="C647" s="0" t="n">
        <v>19.251</v>
      </c>
      <c r="D647" s="0" t="n">
        <v>10.136</v>
      </c>
      <c r="E647" s="0" t="n">
        <v>27.826</v>
      </c>
      <c r="F647" s="0" t="n">
        <v>0.2298</v>
      </c>
      <c r="G647" s="12" t="n">
        <f aca="false">(A647+(C647*D647*COS(RADIANS(E647))^2-F647*C647*D647)*TAN(RADIANS(B647)))/(C647*D647*SIN(RADIANS(E647))*COS(RADIANS(E647)))</f>
        <v>1.13920384614354</v>
      </c>
    </row>
    <row r="648" customFormat="false" ht="15" hidden="false" customHeight="false" outlineLevel="0" collapsed="false">
      <c r="A648" s="0" t="n">
        <v>15.128</v>
      </c>
      <c r="B648" s="0" t="n">
        <v>34.952</v>
      </c>
      <c r="C648" s="0" t="n">
        <v>18.511</v>
      </c>
      <c r="D648" s="0" t="n">
        <v>10.156</v>
      </c>
      <c r="E648" s="0" t="n">
        <v>27.893</v>
      </c>
      <c r="F648" s="0" t="n">
        <v>0.1729</v>
      </c>
      <c r="G648" s="12" t="n">
        <f aca="false">(A648+(C648*D648*COS(RADIANS(E648))^2-F648*C648*D648)*TAN(RADIANS(B648)))/(C648*D648*SIN(RADIANS(E648))*COS(RADIANS(E648)))</f>
        <v>1.22283187930081</v>
      </c>
    </row>
    <row r="649" customFormat="false" ht="15" hidden="false" customHeight="false" outlineLevel="0" collapsed="false">
      <c r="A649" s="0" t="n">
        <v>16.076</v>
      </c>
      <c r="B649" s="0" t="n">
        <v>37.36</v>
      </c>
      <c r="C649" s="0" t="n">
        <v>20.001</v>
      </c>
      <c r="D649" s="0" t="n">
        <v>14.439</v>
      </c>
      <c r="E649" s="0" t="n">
        <v>30.141</v>
      </c>
      <c r="F649" s="0" t="n">
        <v>0.1912</v>
      </c>
      <c r="G649" s="12" t="n">
        <f aca="false">(A649+(C649*D649*COS(RADIANS(E649))^2-F649*C649*D649)*TAN(RADIANS(B649)))/(C649*D649*SIN(RADIANS(E649))*COS(RADIANS(E649)))</f>
        <v>1.10688985997858</v>
      </c>
    </row>
    <row r="650" customFormat="false" ht="15" hidden="false" customHeight="false" outlineLevel="0" collapsed="false">
      <c r="A650" s="0" t="n">
        <v>12.521</v>
      </c>
      <c r="B650" s="0" t="n">
        <v>34.137</v>
      </c>
      <c r="C650" s="0" t="n">
        <v>19.021</v>
      </c>
      <c r="D650" s="0" t="n">
        <v>18.37</v>
      </c>
      <c r="E650" s="0" t="n">
        <v>29.046</v>
      </c>
      <c r="F650" s="0" t="n">
        <v>0.2035</v>
      </c>
      <c r="G650" s="12" t="n">
        <f aca="false">(A650+(C650*D650*COS(RADIANS(E650))^2-F650*C650*D650)*TAN(RADIANS(B650)))/(C650*D650*SIN(RADIANS(E650))*COS(RADIANS(E650)))</f>
        <v>0.980183870271557</v>
      </c>
    </row>
    <row r="651" customFormat="false" ht="15" hidden="false" customHeight="false" outlineLevel="0" collapsed="false">
      <c r="A651" s="0" t="n">
        <v>16.885</v>
      </c>
      <c r="B651" s="0" t="n">
        <v>38.053</v>
      </c>
      <c r="C651" s="0" t="n">
        <v>21.832</v>
      </c>
      <c r="D651" s="0" t="n">
        <v>8.956</v>
      </c>
      <c r="E651" s="0" t="n">
        <v>28.695</v>
      </c>
      <c r="F651" s="0" t="n">
        <v>0.0504</v>
      </c>
      <c r="G651" s="12" t="n">
        <f aca="false">(A651+(C651*D651*COS(RADIANS(E651))^2-F651*C651*D651)*TAN(RADIANS(B651)))/(C651*D651*SIN(RADIANS(E651))*COS(RADIANS(E651)))</f>
        <v>1.54143069136709</v>
      </c>
    </row>
    <row r="652" customFormat="false" ht="15" hidden="false" customHeight="false" outlineLevel="0" collapsed="false">
      <c r="A652" s="0" t="n">
        <v>12.866</v>
      </c>
      <c r="B652" s="0" t="n">
        <v>34.965</v>
      </c>
      <c r="C652" s="0" t="n">
        <v>20.284</v>
      </c>
      <c r="D652" s="0" t="n">
        <v>20.286</v>
      </c>
      <c r="E652" s="0" t="n">
        <v>26.279</v>
      </c>
      <c r="F652" s="0" t="n">
        <v>0.0365</v>
      </c>
      <c r="G652" s="12" t="n">
        <f aca="false">(A652+(C652*D652*COS(RADIANS(E652))^2-F652*C652*D652)*TAN(RADIANS(B652)))/(C652*D652*SIN(RADIANS(E652))*COS(RADIANS(E652)))</f>
        <v>1.43069464025421</v>
      </c>
    </row>
    <row r="653" customFormat="false" ht="15" hidden="false" customHeight="false" outlineLevel="0" collapsed="false">
      <c r="A653" s="0" t="n">
        <v>13.353</v>
      </c>
      <c r="B653" s="0" t="n">
        <v>35.352</v>
      </c>
      <c r="C653" s="0" t="n">
        <v>21.434</v>
      </c>
      <c r="D653" s="0" t="n">
        <v>15.346</v>
      </c>
      <c r="E653" s="0" t="n">
        <v>28.049</v>
      </c>
      <c r="F653" s="0" t="n">
        <v>0.1996</v>
      </c>
      <c r="G653" s="12" t="n">
        <f aca="false">(A653+(C653*D653*COS(RADIANS(E653))^2-F653*C653*D653)*TAN(RADIANS(B653)))/(C653*D653*SIN(RADIANS(E653))*COS(RADIANS(E653)))</f>
        <v>1.08806638819144</v>
      </c>
    </row>
    <row r="654" customFormat="false" ht="15" hidden="false" customHeight="false" outlineLevel="0" collapsed="false">
      <c r="A654" s="0" t="n">
        <v>20.451</v>
      </c>
      <c r="B654" s="0" t="n">
        <v>36.043</v>
      </c>
      <c r="C654" s="0" t="n">
        <v>19.742</v>
      </c>
      <c r="D654" s="0" t="n">
        <v>14.17</v>
      </c>
      <c r="E654" s="0" t="n">
        <v>27.382</v>
      </c>
      <c r="F654" s="0" t="n">
        <v>0.2182</v>
      </c>
      <c r="G654" s="12" t="n">
        <f aca="false">(A654+(C654*D654*COS(RADIANS(E654))^2-F654*C654*D654)*TAN(RADIANS(B654)))/(C654*D654*SIN(RADIANS(E654))*COS(RADIANS(E654)))</f>
        <v>1.19514746943837</v>
      </c>
    </row>
    <row r="655" customFormat="false" ht="15" hidden="false" customHeight="false" outlineLevel="0" collapsed="false">
      <c r="A655" s="0" t="n">
        <v>10.838</v>
      </c>
      <c r="B655" s="0" t="n">
        <v>37.091</v>
      </c>
      <c r="C655" s="0" t="n">
        <v>20.595</v>
      </c>
      <c r="D655" s="0" t="n">
        <v>10.28</v>
      </c>
      <c r="E655" s="0" t="n">
        <v>28.365</v>
      </c>
      <c r="F655" s="0" t="n">
        <v>0.2515</v>
      </c>
      <c r="G655" s="12" t="n">
        <f aca="false">(A655+(C655*D655*COS(RADIANS(E655))^2-F655*C655*D655)*TAN(RADIANS(B655)))/(C655*D655*SIN(RADIANS(E655))*COS(RADIANS(E655)))</f>
        <v>1.06793380149502</v>
      </c>
    </row>
    <row r="656" customFormat="false" ht="15" hidden="false" customHeight="false" outlineLevel="0" collapsed="false">
      <c r="A656" s="0" t="n">
        <v>5.349</v>
      </c>
      <c r="B656" s="0" t="n">
        <v>36.071</v>
      </c>
      <c r="C656" s="0" t="n">
        <v>19.595</v>
      </c>
      <c r="D656" s="0" t="n">
        <v>12.835</v>
      </c>
      <c r="E656" s="0" t="n">
        <v>27.106</v>
      </c>
      <c r="F656" s="0" t="n">
        <v>0.2041</v>
      </c>
      <c r="G656" s="12" t="n">
        <f aca="false">(A656+(C656*D656*COS(RADIANS(E656))^2-F656*C656*D656)*TAN(RADIANS(B656)))/(C656*D656*SIN(RADIANS(E656))*COS(RADIANS(E656)))</f>
        <v>1.1090019293128</v>
      </c>
    </row>
    <row r="657" customFormat="false" ht="15" hidden="false" customHeight="false" outlineLevel="0" collapsed="false">
      <c r="A657" s="0" t="n">
        <v>21.444</v>
      </c>
      <c r="B657" s="0" t="n">
        <v>32.771</v>
      </c>
      <c r="C657" s="0" t="n">
        <v>19.323</v>
      </c>
      <c r="D657" s="0" t="n">
        <v>17.258</v>
      </c>
      <c r="E657" s="0" t="n">
        <v>25.017</v>
      </c>
      <c r="F657" s="0" t="n">
        <v>0.0969</v>
      </c>
      <c r="G657" s="12" t="n">
        <f aca="false">(A657+(C657*D657*COS(RADIANS(E657))^2-F657*C657*D657)*TAN(RADIANS(B657)))/(C657*D657*SIN(RADIANS(E657))*COS(RADIANS(E657)))</f>
        <v>1.38446191594791</v>
      </c>
    </row>
    <row r="658" customFormat="false" ht="15" hidden="false" customHeight="false" outlineLevel="0" collapsed="false">
      <c r="A658" s="0" t="n">
        <v>25.197</v>
      </c>
      <c r="B658" s="0" t="n">
        <v>39.808</v>
      </c>
      <c r="C658" s="0" t="n">
        <v>18.763</v>
      </c>
      <c r="D658" s="0" t="n">
        <v>16.225</v>
      </c>
      <c r="E658" s="0" t="n">
        <v>24.369</v>
      </c>
      <c r="F658" s="0" t="n">
        <v>0.1943</v>
      </c>
      <c r="G658" s="12" t="n">
        <f aca="false">(A658+(C658*D658*COS(RADIANS(E658))^2-F658*C658*D658)*TAN(RADIANS(B658)))/(C658*D658*SIN(RADIANS(E658))*COS(RADIANS(E658)))</f>
        <v>1.62925415779797</v>
      </c>
    </row>
    <row r="659" customFormat="false" ht="15" hidden="false" customHeight="false" outlineLevel="0" collapsed="false">
      <c r="A659" s="0" t="n">
        <v>13.379</v>
      </c>
      <c r="B659" s="0" t="n">
        <v>32.652</v>
      </c>
      <c r="C659" s="0" t="n">
        <v>20.628</v>
      </c>
      <c r="D659" s="0" t="n">
        <v>13.069</v>
      </c>
      <c r="E659" s="0" t="n">
        <v>26.013</v>
      </c>
      <c r="F659" s="0" t="n">
        <v>0.1033</v>
      </c>
      <c r="G659" s="12" t="n">
        <f aca="false">(A659+(C659*D659*COS(RADIANS(E659))^2-F659*C659*D659)*TAN(RADIANS(B659)))/(C659*D659*SIN(RADIANS(E659))*COS(RADIANS(E659)))</f>
        <v>1.27105692857999</v>
      </c>
    </row>
    <row r="660" customFormat="false" ht="15" hidden="false" customHeight="false" outlineLevel="0" collapsed="false">
      <c r="A660" s="0" t="n">
        <v>7.253</v>
      </c>
      <c r="B660" s="0" t="n">
        <v>32.397</v>
      </c>
      <c r="C660" s="0" t="n">
        <v>20.576</v>
      </c>
      <c r="D660" s="0" t="n">
        <v>18.215</v>
      </c>
      <c r="E660" s="0" t="n">
        <v>32.195</v>
      </c>
      <c r="F660" s="0" t="n">
        <v>0.2804</v>
      </c>
      <c r="G660" s="12" t="n">
        <f aca="false">(A660+(C660*D660*COS(RADIANS(E660))^2-F660*C660*D660)*TAN(RADIANS(B660)))/(C660*D660*SIN(RADIANS(E660))*COS(RADIANS(E660)))</f>
        <v>0.65613543021998</v>
      </c>
    </row>
    <row r="661" customFormat="false" ht="15" hidden="false" customHeight="false" outlineLevel="0" collapsed="false">
      <c r="A661" s="0" t="n">
        <v>13.758</v>
      </c>
      <c r="B661" s="0" t="n">
        <v>29.166</v>
      </c>
      <c r="C661" s="0" t="n">
        <v>19.373</v>
      </c>
      <c r="D661" s="0" t="n">
        <v>18.071</v>
      </c>
      <c r="E661" s="0" t="n">
        <v>26.549</v>
      </c>
      <c r="F661" s="0" t="n">
        <v>0.1985</v>
      </c>
      <c r="G661" s="12" t="n">
        <f aca="false">(A661+(C661*D661*COS(RADIANS(E661))^2-F661*C661*D661)*TAN(RADIANS(B661)))/(C661*D661*SIN(RADIANS(E661))*COS(RADIANS(E661)))</f>
        <v>0.938200133307687</v>
      </c>
    </row>
    <row r="662" customFormat="false" ht="15" hidden="false" customHeight="false" outlineLevel="0" collapsed="false">
      <c r="A662" s="0" t="n">
        <v>13.855</v>
      </c>
      <c r="B662" s="0" t="n">
        <v>34.237</v>
      </c>
      <c r="C662" s="0" t="n">
        <v>19.427</v>
      </c>
      <c r="D662" s="0" t="n">
        <v>16.525</v>
      </c>
      <c r="E662" s="0" t="n">
        <v>28.647</v>
      </c>
      <c r="F662" s="0" t="n">
        <v>0.1272</v>
      </c>
      <c r="G662" s="12" t="n">
        <f aca="false">(A662+(C662*D662*COS(RADIANS(E662))^2-F662*C662*D662)*TAN(RADIANS(B662)))/(C662*D662*SIN(RADIANS(E662))*COS(RADIANS(E662)))</f>
        <v>1.14260068813223</v>
      </c>
    </row>
    <row r="663" customFormat="false" ht="15" hidden="false" customHeight="false" outlineLevel="0" collapsed="false">
      <c r="A663" s="0" t="n">
        <v>14.24</v>
      </c>
      <c r="B663" s="0" t="n">
        <v>33.506</v>
      </c>
      <c r="C663" s="0" t="n">
        <v>20.753</v>
      </c>
      <c r="D663" s="0" t="n">
        <v>15.248</v>
      </c>
      <c r="E663" s="0" t="n">
        <v>24.352</v>
      </c>
      <c r="F663" s="0" t="n">
        <v>0.2878</v>
      </c>
      <c r="G663" s="12" t="n">
        <f aca="false">(A663+(C663*D663*COS(RADIANS(E663))^2-F663*C663*D663)*TAN(RADIANS(B663)))/(C663*D663*SIN(RADIANS(E663))*COS(RADIANS(E663)))</f>
        <v>1.0752937474863</v>
      </c>
    </row>
    <row r="664" customFormat="false" ht="15" hidden="false" customHeight="false" outlineLevel="0" collapsed="false">
      <c r="A664" s="0" t="n">
        <v>10.546</v>
      </c>
      <c r="B664" s="0" t="n">
        <v>35.204</v>
      </c>
      <c r="C664" s="0" t="n">
        <v>19.532</v>
      </c>
      <c r="D664" s="0" t="n">
        <v>14.177</v>
      </c>
      <c r="E664" s="0" t="n">
        <v>26.657</v>
      </c>
      <c r="F664" s="0" t="n">
        <v>0.1292</v>
      </c>
      <c r="G664" s="12" t="n">
        <f aca="false">(A664+(C664*D664*COS(RADIANS(E664))^2-F664*C664*D664)*TAN(RADIANS(B664)))/(C664*D664*SIN(RADIANS(E664))*COS(RADIANS(E664)))</f>
        <v>1.27305666234694</v>
      </c>
    </row>
    <row r="665" customFormat="false" ht="15" hidden="false" customHeight="false" outlineLevel="0" collapsed="false">
      <c r="A665" s="0" t="n">
        <v>17.318</v>
      </c>
      <c r="B665" s="0" t="n">
        <v>32.512</v>
      </c>
      <c r="C665" s="0" t="n">
        <v>19.679</v>
      </c>
      <c r="D665" s="0" t="n">
        <v>15.345</v>
      </c>
      <c r="E665" s="0" t="n">
        <v>30.68</v>
      </c>
      <c r="F665" s="0" t="n">
        <v>0.1011</v>
      </c>
      <c r="G665" s="12" t="n">
        <f aca="false">(A665+(C665*D665*COS(RADIANS(E665))^2-F665*C665*D665)*TAN(RADIANS(B665)))/(C665*D665*SIN(RADIANS(E665))*COS(RADIANS(E665)))</f>
        <v>1.05814565287599</v>
      </c>
    </row>
    <row r="666" customFormat="false" ht="15" hidden="false" customHeight="false" outlineLevel="0" collapsed="false">
      <c r="A666" s="0" t="n">
        <v>17.098</v>
      </c>
      <c r="B666" s="0" t="n">
        <v>39.951</v>
      </c>
      <c r="C666" s="0" t="n">
        <v>22.015</v>
      </c>
      <c r="D666" s="0" t="n">
        <v>18.826</v>
      </c>
      <c r="E666" s="0" t="n">
        <v>26.435</v>
      </c>
      <c r="F666" s="0" t="n">
        <v>0.1277</v>
      </c>
      <c r="G666" s="12" t="n">
        <f aca="false">(A666+(C666*D666*COS(RADIANS(E666))^2-F666*C666*D666)*TAN(RADIANS(B666)))/(C666*D666*SIN(RADIANS(E666))*COS(RADIANS(E666)))</f>
        <v>1.51999152816012</v>
      </c>
    </row>
    <row r="667" customFormat="false" ht="15" hidden="false" customHeight="false" outlineLevel="0" collapsed="false">
      <c r="A667" s="0" t="n">
        <v>9.022</v>
      </c>
      <c r="B667" s="0" t="n">
        <v>33.24</v>
      </c>
      <c r="C667" s="0" t="n">
        <v>19.991</v>
      </c>
      <c r="D667" s="0" t="n">
        <v>20.355</v>
      </c>
      <c r="E667" s="0" t="n">
        <v>30.185</v>
      </c>
      <c r="F667" s="0" t="n">
        <v>0.1006</v>
      </c>
      <c r="G667" s="12" t="n">
        <f aca="false">(A667+(C667*D667*COS(RADIANS(E667))^2-F667*C667*D667)*TAN(RADIANS(B667)))/(C667*D667*SIN(RADIANS(E667))*COS(RADIANS(E667)))</f>
        <v>1.02604757442622</v>
      </c>
    </row>
    <row r="668" customFormat="false" ht="15" hidden="false" customHeight="false" outlineLevel="0" collapsed="false">
      <c r="A668" s="0" t="n">
        <v>17.797</v>
      </c>
      <c r="B668" s="0" t="n">
        <v>33.239</v>
      </c>
      <c r="C668" s="0" t="n">
        <v>19.255</v>
      </c>
      <c r="D668" s="0" t="n">
        <v>16.03</v>
      </c>
      <c r="E668" s="0" t="n">
        <v>25.314</v>
      </c>
      <c r="F668" s="0" t="n">
        <v>0.1453</v>
      </c>
      <c r="G668" s="12" t="n">
        <f aca="false">(A668+(C668*D668*COS(RADIANS(E668))^2-F668*C668*D668)*TAN(RADIANS(B668)))/(C668*D668*SIN(RADIANS(E668))*COS(RADIANS(E668)))</f>
        <v>1.28835259955802</v>
      </c>
    </row>
    <row r="669" customFormat="false" ht="15" hidden="false" customHeight="false" outlineLevel="0" collapsed="false">
      <c r="A669" s="0" t="n">
        <v>23.211</v>
      </c>
      <c r="B669" s="0" t="n">
        <v>34.786</v>
      </c>
      <c r="C669" s="0" t="n">
        <v>19.436</v>
      </c>
      <c r="D669" s="0" t="n">
        <v>22.601</v>
      </c>
      <c r="E669" s="0" t="n">
        <v>27.799</v>
      </c>
      <c r="F669" s="0" t="n">
        <v>0.0509</v>
      </c>
      <c r="G669" s="12" t="n">
        <f aca="false">(A669+(C669*D669*COS(RADIANS(E669))^2-F669*C669*D669)*TAN(RADIANS(B669)))/(C669*D669*SIN(RADIANS(E669))*COS(RADIANS(E669)))</f>
        <v>1.35996248717475</v>
      </c>
    </row>
    <row r="670" customFormat="false" ht="15" hidden="false" customHeight="false" outlineLevel="0" collapsed="false">
      <c r="A670" s="0" t="n">
        <v>15.688</v>
      </c>
      <c r="B670" s="0" t="n">
        <v>36.123</v>
      </c>
      <c r="C670" s="0" t="n">
        <v>21.444</v>
      </c>
      <c r="D670" s="0" t="n">
        <v>16.029</v>
      </c>
      <c r="E670" s="0" t="n">
        <v>28.49</v>
      </c>
      <c r="F670" s="0" t="n">
        <v>0.0157</v>
      </c>
      <c r="G670" s="12" t="n">
        <f aca="false">(A670+(C670*D670*COS(RADIANS(E670))^2-F670*C670*D670)*TAN(RADIANS(B670)))/(C670*D670*SIN(RADIANS(E670))*COS(RADIANS(E670)))</f>
        <v>1.42626982866321</v>
      </c>
    </row>
    <row r="671" customFormat="false" ht="15" hidden="false" customHeight="false" outlineLevel="0" collapsed="false">
      <c r="A671" s="0" t="n">
        <v>13.651</v>
      </c>
      <c r="B671" s="0" t="n">
        <v>38.629</v>
      </c>
      <c r="C671" s="0" t="n">
        <v>20.082</v>
      </c>
      <c r="D671" s="0" t="n">
        <v>22.604</v>
      </c>
      <c r="E671" s="0" t="n">
        <v>28.502</v>
      </c>
      <c r="F671" s="0" t="n">
        <v>0.1589</v>
      </c>
      <c r="G671" s="12" t="n">
        <f aca="false">(A671+(C671*D671*COS(RADIANS(E671))^2-F671*C671*D671)*TAN(RADIANS(B671)))/(C671*D671*SIN(RADIANS(E671))*COS(RADIANS(E671)))</f>
        <v>1.24058393489954</v>
      </c>
    </row>
    <row r="672" customFormat="false" ht="15" hidden="false" customHeight="false" outlineLevel="0" collapsed="false">
      <c r="A672" s="0" t="n">
        <v>14.432</v>
      </c>
      <c r="B672" s="0" t="n">
        <v>36.576</v>
      </c>
      <c r="C672" s="0" t="n">
        <v>19.793</v>
      </c>
      <c r="D672" s="0" t="n">
        <v>14.114</v>
      </c>
      <c r="E672" s="0" t="n">
        <v>29.771</v>
      </c>
      <c r="F672" s="0" t="n">
        <v>0.1122</v>
      </c>
      <c r="G672" s="12" t="n">
        <f aca="false">(A672+(C672*D672*COS(RADIANS(E672))^2-F672*C672*D672)*TAN(RADIANS(B672)))/(C672*D672*SIN(RADIANS(E672))*COS(RADIANS(E672)))</f>
        <v>1.22385323970494</v>
      </c>
    </row>
    <row r="673" customFormat="false" ht="15" hidden="false" customHeight="false" outlineLevel="0" collapsed="false">
      <c r="A673" s="0" t="n">
        <v>17.461</v>
      </c>
      <c r="B673" s="0" t="n">
        <v>36.523</v>
      </c>
      <c r="C673" s="0" t="n">
        <v>18.499</v>
      </c>
      <c r="D673" s="0" t="n">
        <v>19.175</v>
      </c>
      <c r="E673" s="0" t="n">
        <v>28.359</v>
      </c>
      <c r="F673" s="0" t="n">
        <v>0.1565</v>
      </c>
      <c r="G673" s="12" t="n">
        <f aca="false">(A673+(C673*D673*COS(RADIANS(E673))^2-F673*C673*D673)*TAN(RADIANS(B673)))/(C673*D673*SIN(RADIANS(E673))*COS(RADIANS(E673)))</f>
        <v>1.21250814091698</v>
      </c>
    </row>
    <row r="674" customFormat="false" ht="15" hidden="false" customHeight="false" outlineLevel="0" collapsed="false">
      <c r="A674" s="0" t="n">
        <v>8.077</v>
      </c>
      <c r="B674" s="0" t="n">
        <v>35.358</v>
      </c>
      <c r="C674" s="0" t="n">
        <v>17.722</v>
      </c>
      <c r="D674" s="0" t="n">
        <v>15.293</v>
      </c>
      <c r="E674" s="0" t="n">
        <v>27.528</v>
      </c>
      <c r="F674" s="0" t="n">
        <v>0.0896</v>
      </c>
      <c r="G674" s="12" t="n">
        <f aca="false">(A674+(C674*D674*COS(RADIANS(E674))^2-F674*C674*D674)*TAN(RADIANS(B674)))/(C674*D674*SIN(RADIANS(E674))*COS(RADIANS(E674)))</f>
        <v>1.27902176069308</v>
      </c>
    </row>
    <row r="675" customFormat="false" ht="15" hidden="false" customHeight="false" outlineLevel="0" collapsed="false">
      <c r="A675" s="0" t="n">
        <v>15.658</v>
      </c>
      <c r="B675" s="0" t="n">
        <v>32.542</v>
      </c>
      <c r="C675" s="0" t="n">
        <v>20.732</v>
      </c>
      <c r="D675" s="0" t="n">
        <v>17.102</v>
      </c>
      <c r="E675" s="0" t="n">
        <v>28.651</v>
      </c>
      <c r="F675" s="0" t="n">
        <v>0.1561</v>
      </c>
      <c r="G675" s="12" t="n">
        <f aca="false">(A675+(C675*D675*COS(RADIANS(E675))^2-F675*C675*D675)*TAN(RADIANS(B675)))/(C675*D675*SIN(RADIANS(E675))*COS(RADIANS(E675)))</f>
        <v>1.03611235707052</v>
      </c>
    </row>
    <row r="676" customFormat="false" ht="15" hidden="false" customHeight="false" outlineLevel="0" collapsed="false">
      <c r="A676" s="0" t="n">
        <v>13.438</v>
      </c>
      <c r="B676" s="0" t="n">
        <v>33.15</v>
      </c>
      <c r="C676" s="0" t="n">
        <v>18.261</v>
      </c>
      <c r="D676" s="0" t="n">
        <v>15.974</v>
      </c>
      <c r="E676" s="0" t="n">
        <v>25.818</v>
      </c>
      <c r="F676" s="0" t="n">
        <v>0.3</v>
      </c>
      <c r="G676" s="12" t="n">
        <f aca="false">(A676+(C676*D676*COS(RADIANS(E676))^2-F676*C676*D676)*TAN(RADIANS(B676)))/(C676*D676*SIN(RADIANS(E676))*COS(RADIANS(E676)))</f>
        <v>0.967705610827245</v>
      </c>
    </row>
    <row r="677" customFormat="false" ht="15" hidden="false" customHeight="false" outlineLevel="0" collapsed="false">
      <c r="A677" s="0" t="n">
        <v>22.391</v>
      </c>
      <c r="B677" s="0" t="n">
        <v>28.345</v>
      </c>
      <c r="C677" s="0" t="n">
        <v>19.733</v>
      </c>
      <c r="D677" s="0" t="n">
        <v>11.23</v>
      </c>
      <c r="E677" s="0" t="n">
        <v>26.18</v>
      </c>
      <c r="F677" s="0" t="n">
        <v>0.2015</v>
      </c>
      <c r="G677" s="12" t="n">
        <f aca="false">(A677+(C677*D677*COS(RADIANS(E677))^2-F677*C677*D677)*TAN(RADIANS(B677)))/(C677*D677*SIN(RADIANS(E677))*COS(RADIANS(E677)))</f>
        <v>1.07794574229244</v>
      </c>
    </row>
    <row r="678" customFormat="false" ht="15" hidden="false" customHeight="false" outlineLevel="0" collapsed="false">
      <c r="A678" s="0" t="n">
        <v>14.303</v>
      </c>
      <c r="B678" s="0" t="n">
        <v>34.06</v>
      </c>
      <c r="C678" s="0" t="n">
        <v>19.104</v>
      </c>
      <c r="D678" s="0" t="n">
        <v>17.945</v>
      </c>
      <c r="E678" s="0" t="n">
        <v>26.63</v>
      </c>
      <c r="F678" s="0" t="n">
        <v>0.1679</v>
      </c>
      <c r="G678" s="12" t="n">
        <f aca="false">(A678+(C678*D678*COS(RADIANS(E678))^2-F678*C678*D678)*TAN(RADIANS(B678)))/(C678*D678*SIN(RADIANS(E678))*COS(RADIANS(E678)))</f>
        <v>1.16908630332496</v>
      </c>
    </row>
    <row r="679" customFormat="false" ht="15" hidden="false" customHeight="false" outlineLevel="0" collapsed="false">
      <c r="A679" s="0" t="n">
        <v>21.672</v>
      </c>
      <c r="B679" s="0" t="n">
        <v>36.92</v>
      </c>
      <c r="C679" s="0" t="n">
        <v>20.682</v>
      </c>
      <c r="D679" s="0" t="n">
        <v>14.581</v>
      </c>
      <c r="E679" s="0" t="n">
        <v>21.944</v>
      </c>
      <c r="F679" s="0" t="n">
        <v>0.159</v>
      </c>
      <c r="G679" s="12" t="n">
        <f aca="false">(A679+(C679*D679*COS(RADIANS(E679))^2-F679*C679*D679)*TAN(RADIANS(B679)))/(C679*D679*SIN(RADIANS(E679))*COS(RADIANS(E679)))</f>
        <v>1.72761493972116</v>
      </c>
    </row>
    <row r="680" customFormat="false" ht="15" hidden="false" customHeight="false" outlineLevel="0" collapsed="false">
      <c r="A680" s="0" t="n">
        <v>10.585</v>
      </c>
      <c r="B680" s="0" t="n">
        <v>34.221</v>
      </c>
      <c r="C680" s="0" t="n">
        <v>19.78</v>
      </c>
      <c r="D680" s="0" t="n">
        <v>18.077</v>
      </c>
      <c r="E680" s="0" t="n">
        <v>23.982</v>
      </c>
      <c r="F680" s="0" t="n">
        <v>0.1625</v>
      </c>
      <c r="G680" s="12" t="n">
        <f aca="false">(A680+(C680*D680*COS(RADIANS(E680))^2-F680*C680*D680)*TAN(RADIANS(B680)))/(C680*D680*SIN(RADIANS(E680))*COS(RADIANS(E680)))</f>
        <v>1.31100391971119</v>
      </c>
    </row>
    <row r="681" customFormat="false" ht="15" hidden="false" customHeight="false" outlineLevel="0" collapsed="false">
      <c r="A681" s="0" t="n">
        <v>17.349</v>
      </c>
      <c r="B681" s="0" t="n">
        <v>36.298</v>
      </c>
      <c r="C681" s="0" t="n">
        <v>20.882</v>
      </c>
      <c r="D681" s="0" t="n">
        <v>10.585</v>
      </c>
      <c r="E681" s="0" t="n">
        <v>25.648</v>
      </c>
      <c r="F681" s="0" t="n">
        <v>0.2518</v>
      </c>
      <c r="G681" s="12" t="n">
        <f aca="false">(A681+(C681*D681*COS(RADIANS(E681))^2-F681*C681*D681)*TAN(RADIANS(B681)))/(C681*D681*SIN(RADIANS(E681))*COS(RADIANS(E681)))</f>
        <v>1.25692440542867</v>
      </c>
    </row>
    <row r="682" customFormat="false" ht="15" hidden="false" customHeight="false" outlineLevel="0" collapsed="false">
      <c r="A682" s="0" t="n">
        <v>16.278</v>
      </c>
      <c r="B682" s="0" t="n">
        <v>40.699</v>
      </c>
      <c r="C682" s="0" t="n">
        <v>20.247</v>
      </c>
      <c r="D682" s="0" t="n">
        <v>13.6</v>
      </c>
      <c r="E682" s="0" t="n">
        <v>26.534</v>
      </c>
      <c r="F682" s="0" t="n">
        <v>0.1963</v>
      </c>
      <c r="G682" s="12" t="n">
        <f aca="false">(A682+(C682*D682*COS(RADIANS(E682))^2-F682*C682*D682)*TAN(RADIANS(B682)))/(C682*D682*SIN(RADIANS(E682))*COS(RADIANS(E682)))</f>
        <v>1.44801259390006</v>
      </c>
    </row>
    <row r="683" customFormat="false" ht="15" hidden="false" customHeight="false" outlineLevel="0" collapsed="false">
      <c r="A683" s="0" t="n">
        <v>11.524</v>
      </c>
      <c r="B683" s="0" t="n">
        <v>35.319</v>
      </c>
      <c r="C683" s="0" t="n">
        <v>20.533</v>
      </c>
      <c r="D683" s="0" t="n">
        <v>14.098</v>
      </c>
      <c r="E683" s="0" t="n">
        <v>27.886</v>
      </c>
      <c r="F683" s="0" t="n">
        <v>0.0431</v>
      </c>
      <c r="G683" s="12" t="n">
        <f aca="false">(A683+(C683*D683*COS(RADIANS(E683))^2-F683*C683*D683)*TAN(RADIANS(B683)))/(C683*D683*SIN(RADIANS(E683))*COS(RADIANS(E683)))</f>
        <v>1.36141424279256</v>
      </c>
    </row>
    <row r="684" customFormat="false" ht="15" hidden="false" customHeight="false" outlineLevel="0" collapsed="false">
      <c r="A684" s="0" t="n">
        <v>15.71</v>
      </c>
      <c r="B684" s="0" t="n">
        <v>36.723</v>
      </c>
      <c r="C684" s="0" t="n">
        <v>20.689</v>
      </c>
      <c r="D684" s="0" t="n">
        <v>16.246</v>
      </c>
      <c r="E684" s="0" t="n">
        <v>30.257</v>
      </c>
      <c r="F684" s="0" t="n">
        <v>0.2096</v>
      </c>
      <c r="G684" s="12" t="n">
        <f aca="false">(A684+(C684*D684*COS(RADIANS(E684))^2-F684*C684*D684)*TAN(RADIANS(B684)))/(C684*D684*SIN(RADIANS(E684))*COS(RADIANS(E684)))</f>
        <v>1.02696483477086</v>
      </c>
    </row>
    <row r="685" customFormat="false" ht="15" hidden="false" customHeight="false" outlineLevel="0" collapsed="false">
      <c r="A685" s="0" t="n">
        <v>19.85</v>
      </c>
      <c r="B685" s="0" t="n">
        <v>35.35</v>
      </c>
      <c r="C685" s="0" t="n">
        <v>20.847</v>
      </c>
      <c r="D685" s="0" t="n">
        <v>13.431</v>
      </c>
      <c r="E685" s="0" t="n">
        <v>24.976</v>
      </c>
      <c r="F685" s="0" t="n">
        <v>0.1245</v>
      </c>
      <c r="G685" s="12" t="n">
        <f aca="false">(A685+(C685*D685*COS(RADIANS(E685))^2-F685*C685*D685)*TAN(RADIANS(B685)))/(C685*D685*SIN(RADIANS(E685))*COS(RADIANS(E685)))</f>
        <v>1.47735889773917</v>
      </c>
    </row>
    <row r="686" customFormat="false" ht="15" hidden="false" customHeight="false" outlineLevel="0" collapsed="false">
      <c r="A686" s="0" t="n">
        <v>13.705</v>
      </c>
      <c r="B686" s="0" t="n">
        <v>32.547</v>
      </c>
      <c r="C686" s="0" t="n">
        <v>21.416</v>
      </c>
      <c r="D686" s="0" t="n">
        <v>7.466</v>
      </c>
      <c r="E686" s="0" t="n">
        <v>27.268</v>
      </c>
      <c r="F686" s="0" t="n">
        <v>0.0996</v>
      </c>
      <c r="G686" s="12" t="n">
        <f aca="false">(A686+(C686*D686*COS(RADIANS(E686))^2-F686*C686*D686)*TAN(RADIANS(B686)))/(C686*D686*SIN(RADIANS(E686))*COS(RADIANS(E686)))</f>
        <v>1.29261616552218</v>
      </c>
    </row>
    <row r="687" customFormat="false" ht="15" hidden="false" customHeight="false" outlineLevel="0" collapsed="false">
      <c r="A687" s="0" t="n">
        <v>8.232</v>
      </c>
      <c r="B687" s="0" t="n">
        <v>34.36</v>
      </c>
      <c r="C687" s="0" t="n">
        <v>19.952</v>
      </c>
      <c r="D687" s="0" t="n">
        <v>14.805</v>
      </c>
      <c r="E687" s="0" t="n">
        <v>26.826</v>
      </c>
      <c r="F687" s="0" t="n">
        <v>0.2181</v>
      </c>
      <c r="G687" s="12" t="n">
        <f aca="false">(A687+(C687*D687*COS(RADIANS(E687))^2-F687*C687*D687)*TAN(RADIANS(B687)))/(C687*D687*SIN(RADIANS(E687))*COS(RADIANS(E687)))</f>
        <v>1.05088348107493</v>
      </c>
    </row>
    <row r="688" customFormat="false" ht="15" hidden="false" customHeight="false" outlineLevel="0" collapsed="false">
      <c r="A688" s="0" t="n">
        <v>14.93</v>
      </c>
      <c r="B688" s="0" t="n">
        <v>31.732</v>
      </c>
      <c r="C688" s="0" t="n">
        <v>18.541</v>
      </c>
      <c r="D688" s="0" t="n">
        <v>13.544</v>
      </c>
      <c r="E688" s="0" t="n">
        <v>29.764</v>
      </c>
      <c r="F688" s="0" t="n">
        <v>0.2061</v>
      </c>
      <c r="G688" s="12" t="n">
        <f aca="false">(A688+(C688*D688*COS(RADIANS(E688))^2-F688*C688*D688)*TAN(RADIANS(B688)))/(C688*D688*SIN(RADIANS(E688))*COS(RADIANS(E688)))</f>
        <v>0.923550898281971</v>
      </c>
    </row>
    <row r="689" customFormat="false" ht="15" hidden="false" customHeight="false" outlineLevel="0" collapsed="false">
      <c r="A689" s="0" t="n">
        <v>11.39</v>
      </c>
      <c r="B689" s="0" t="n">
        <v>37.545</v>
      </c>
      <c r="C689" s="0" t="n">
        <v>20.053</v>
      </c>
      <c r="D689" s="0" t="n">
        <v>8.617</v>
      </c>
      <c r="E689" s="0" t="n">
        <v>27.027</v>
      </c>
      <c r="F689" s="0" t="n">
        <v>0.2083</v>
      </c>
      <c r="G689" s="12" t="n">
        <f aca="false">(A689+(C689*D689*COS(RADIANS(E689))^2-F689*C689*D689)*TAN(RADIANS(B689)))/(C689*D689*SIN(RADIANS(E689))*COS(RADIANS(E689)))</f>
        <v>1.27399557429017</v>
      </c>
    </row>
    <row r="690" customFormat="false" ht="15" hidden="false" customHeight="false" outlineLevel="0" collapsed="false">
      <c r="A690" s="0" t="n">
        <v>13.631</v>
      </c>
      <c r="B690" s="0" t="n">
        <v>37.788</v>
      </c>
      <c r="C690" s="0" t="n">
        <v>20.053</v>
      </c>
      <c r="D690" s="0" t="n">
        <v>15.886</v>
      </c>
      <c r="E690" s="0" t="n">
        <v>26.514</v>
      </c>
      <c r="F690" s="0" t="n">
        <v>0.092</v>
      </c>
      <c r="G690" s="12" t="n">
        <f aca="false">(A690+(C690*D690*COS(RADIANS(E690))^2-F690*C690*D690)*TAN(RADIANS(B690)))/(C690*D690*SIN(RADIANS(E690))*COS(RADIANS(E690)))</f>
        <v>1.48269674558685</v>
      </c>
    </row>
    <row r="691" customFormat="false" ht="15" hidden="false" customHeight="false" outlineLevel="0" collapsed="false">
      <c r="A691" s="0" t="n">
        <v>14.674</v>
      </c>
      <c r="B691" s="0" t="n">
        <v>34.722</v>
      </c>
      <c r="C691" s="0" t="n">
        <v>20.197</v>
      </c>
      <c r="D691" s="0" t="n">
        <v>17.26</v>
      </c>
      <c r="E691" s="0" t="n">
        <v>29.552</v>
      </c>
      <c r="F691" s="0" t="n">
        <v>0.1542</v>
      </c>
      <c r="G691" s="12" t="n">
        <f aca="false">(A691+(C691*D691*COS(RADIANS(E691))^2-F691*C691*D691)*TAN(RADIANS(B691)))/(C691*D691*SIN(RADIANS(E691))*COS(RADIANS(E691)))</f>
        <v>1.07133196593705</v>
      </c>
    </row>
    <row r="692" customFormat="false" ht="15" hidden="false" customHeight="false" outlineLevel="0" collapsed="false">
      <c r="A692" s="0" t="n">
        <v>8.177</v>
      </c>
      <c r="B692" s="0" t="n">
        <v>40.309</v>
      </c>
      <c r="C692" s="0" t="n">
        <v>19.133</v>
      </c>
      <c r="D692" s="0" t="n">
        <v>15.773</v>
      </c>
      <c r="E692" s="0" t="n">
        <v>27.795</v>
      </c>
      <c r="F692" s="0" t="n">
        <v>0.1253</v>
      </c>
      <c r="G692" s="12" t="n">
        <f aca="false">(A692+(C692*D692*COS(RADIANS(E692))^2-F692*C692*D692)*TAN(RADIANS(B692)))/(C692*D692*SIN(RADIANS(E692))*COS(RADIANS(E692)))</f>
        <v>1.41734700231433</v>
      </c>
    </row>
    <row r="693" customFormat="false" ht="15" hidden="false" customHeight="false" outlineLevel="0" collapsed="false">
      <c r="A693" s="0" t="n">
        <v>8.537</v>
      </c>
      <c r="B693" s="0" t="n">
        <v>34.322</v>
      </c>
      <c r="C693" s="0" t="n">
        <v>20.519</v>
      </c>
      <c r="D693" s="0" t="n">
        <v>15.097</v>
      </c>
      <c r="E693" s="0" t="n">
        <v>26.995</v>
      </c>
      <c r="F693" s="0" t="n">
        <v>0.0644</v>
      </c>
      <c r="G693" s="12" t="n">
        <f aca="false">(A693+(C693*D693*COS(RADIANS(E693))^2-F693*C693*D693)*TAN(RADIANS(B693)))/(C693*D693*SIN(RADIANS(E693))*COS(RADIANS(E693)))</f>
        <v>1.29962717197333</v>
      </c>
    </row>
    <row r="694" customFormat="false" ht="15" hidden="false" customHeight="false" outlineLevel="0" collapsed="false">
      <c r="A694" s="0" t="n">
        <v>16.928</v>
      </c>
      <c r="B694" s="0" t="n">
        <v>37.618</v>
      </c>
      <c r="C694" s="0" t="n">
        <v>19.093</v>
      </c>
      <c r="D694" s="0" t="n">
        <v>15.888</v>
      </c>
      <c r="E694" s="0" t="n">
        <v>27.684</v>
      </c>
      <c r="F694" s="0" t="n">
        <v>0.1239</v>
      </c>
      <c r="G694" s="12" t="n">
        <f aca="false">(A694+(C694*D694*COS(RADIANS(E694))^2-F694*C694*D694)*TAN(RADIANS(B694)))/(C694*D694*SIN(RADIANS(E694))*COS(RADIANS(E694)))</f>
        <v>1.37234630910092</v>
      </c>
    </row>
    <row r="695" customFormat="false" ht="15" hidden="false" customHeight="false" outlineLevel="0" collapsed="false">
      <c r="A695" s="0" t="n">
        <v>12.909</v>
      </c>
      <c r="B695" s="0" t="n">
        <v>34.258</v>
      </c>
      <c r="C695" s="0" t="n">
        <v>21.163</v>
      </c>
      <c r="D695" s="0" t="n">
        <v>17.04</v>
      </c>
      <c r="E695" s="0" t="n">
        <v>30.919</v>
      </c>
      <c r="F695" s="0" t="n">
        <v>0.1607</v>
      </c>
      <c r="G695" s="12" t="n">
        <f aca="false">(A695+(C695*D695*COS(RADIANS(E695))^2-F695*C695*D695)*TAN(RADIANS(B695)))/(C695*D695*SIN(RADIANS(E695))*COS(RADIANS(E695)))</f>
        <v>0.970060631952988</v>
      </c>
    </row>
    <row r="696" customFormat="false" ht="15" hidden="false" customHeight="false" outlineLevel="0" collapsed="false">
      <c r="A696" s="0" t="n">
        <v>4.741</v>
      </c>
      <c r="B696" s="0" t="n">
        <v>36.341</v>
      </c>
      <c r="C696" s="0" t="n">
        <v>21.022</v>
      </c>
      <c r="D696" s="0" t="n">
        <v>19.715</v>
      </c>
      <c r="E696" s="0" t="n">
        <v>24.237</v>
      </c>
      <c r="F696" s="0" t="n">
        <v>0.1087</v>
      </c>
      <c r="G696" s="12" t="n">
        <f aca="false">(A696+(C696*D696*COS(RADIANS(E696))^2-F696*C696*D696)*TAN(RADIANS(B696)))/(C696*D696*SIN(RADIANS(E696))*COS(RADIANS(E696)))</f>
        <v>1.45105736295782</v>
      </c>
    </row>
    <row r="697" customFormat="false" ht="15" hidden="false" customHeight="false" outlineLevel="0" collapsed="false">
      <c r="A697" s="0" t="n">
        <v>18.139</v>
      </c>
      <c r="B697" s="0" t="n">
        <v>30.818</v>
      </c>
      <c r="C697" s="0" t="n">
        <v>21.409</v>
      </c>
      <c r="D697" s="0" t="n">
        <v>19.46</v>
      </c>
      <c r="E697" s="0" t="n">
        <v>28.883</v>
      </c>
      <c r="F697" s="0" t="n">
        <v>0.2185</v>
      </c>
      <c r="G697" s="12" t="n">
        <f aca="false">(A697+(C697*D697*COS(RADIANS(E697))^2-F697*C697*D697)*TAN(RADIANS(B697)))/(C697*D697*SIN(RADIANS(E697))*COS(RADIANS(E697)))</f>
        <v>0.876152066267994</v>
      </c>
    </row>
    <row r="698" customFormat="false" ht="15" hidden="false" customHeight="false" outlineLevel="0" collapsed="false">
      <c r="A698" s="0" t="n">
        <v>16.089</v>
      </c>
      <c r="B698" s="0" t="n">
        <v>33.515</v>
      </c>
      <c r="C698" s="0" t="n">
        <v>19.808</v>
      </c>
      <c r="D698" s="0" t="n">
        <v>15.309</v>
      </c>
      <c r="E698" s="0" t="n">
        <v>29.324</v>
      </c>
      <c r="F698" s="0" t="n">
        <v>0.0171</v>
      </c>
      <c r="G698" s="12" t="n">
        <f aca="false">(A698+(C698*D698*COS(RADIANS(E698))^2-F698*C698*D698)*TAN(RADIANS(B698)))/(C698*D698*SIN(RADIANS(E698))*COS(RADIANS(E698)))</f>
        <v>1.27671472095308</v>
      </c>
    </row>
    <row r="699" customFormat="false" ht="15" hidden="false" customHeight="false" outlineLevel="0" collapsed="false">
      <c r="A699" s="0" t="n">
        <v>12.145</v>
      </c>
      <c r="B699" s="0" t="n">
        <v>35.199</v>
      </c>
      <c r="C699" s="0" t="n">
        <v>18.738</v>
      </c>
      <c r="D699" s="0" t="n">
        <v>16.031</v>
      </c>
      <c r="E699" s="0" t="n">
        <v>24.077</v>
      </c>
      <c r="F699" s="0" t="n">
        <v>0.0848</v>
      </c>
      <c r="G699" s="12" t="n">
        <f aca="false">(A699+(C699*D699*COS(RADIANS(E699))^2-F699*C699*D699)*TAN(RADIANS(B699)))/(C699*D699*SIN(RADIANS(E699))*COS(RADIANS(E699)))</f>
        <v>1.52658400076341</v>
      </c>
    </row>
    <row r="700" customFormat="false" ht="15" hidden="false" customHeight="false" outlineLevel="0" collapsed="false">
      <c r="A700" s="0" t="n">
        <v>9.733</v>
      </c>
      <c r="B700" s="0" t="n">
        <v>37.551</v>
      </c>
      <c r="C700" s="0" t="n">
        <v>20.216</v>
      </c>
      <c r="D700" s="0" t="n">
        <v>15.275</v>
      </c>
      <c r="E700" s="0" t="n">
        <v>28.524</v>
      </c>
      <c r="F700" s="0" t="n">
        <v>0.1436</v>
      </c>
      <c r="G700" s="12" t="n">
        <f aca="false">(A700+(C700*D700*COS(RADIANS(E700))^2-F700*C700*D700)*TAN(RADIANS(B700)))/(C700*D700*SIN(RADIANS(E700))*COS(RADIANS(E700)))</f>
        <v>1.2264465092528</v>
      </c>
    </row>
    <row r="701" customFormat="false" ht="15" hidden="false" customHeight="false" outlineLevel="0" collapsed="false">
      <c r="A701" s="0" t="n">
        <v>18.343</v>
      </c>
      <c r="B701" s="0" t="n">
        <v>35.142</v>
      </c>
      <c r="C701" s="0" t="n">
        <v>20.71</v>
      </c>
      <c r="D701" s="0" t="n">
        <v>17.597</v>
      </c>
      <c r="E701" s="0" t="n">
        <v>27.445</v>
      </c>
      <c r="F701" s="0" t="n">
        <v>0.1917</v>
      </c>
      <c r="G701" s="12" t="n">
        <f aca="false">(A701+(C701*D701*COS(RADIANS(E701))^2-F701*C701*D701)*TAN(RADIANS(B701)))/(C701*D701*SIN(RADIANS(E701))*COS(RADIANS(E701)))</f>
        <v>1.14852001979411</v>
      </c>
    </row>
    <row r="702" customFormat="false" ht="15" hidden="false" customHeight="false" outlineLevel="0" collapsed="false">
      <c r="A702" s="0" t="n">
        <v>16.397</v>
      </c>
      <c r="B702" s="0" t="n">
        <v>39.099</v>
      </c>
      <c r="C702" s="0" t="n">
        <v>18.59</v>
      </c>
      <c r="D702" s="0" t="n">
        <v>11.883</v>
      </c>
      <c r="E702" s="0" t="n">
        <v>28.76</v>
      </c>
      <c r="F702" s="0" t="n">
        <v>0.1834</v>
      </c>
      <c r="G702" s="12" t="n">
        <f aca="false">(A702+(C702*D702*COS(RADIANS(E702))^2-F702*C702*D702)*TAN(RADIANS(B702)))/(C702*D702*SIN(RADIANS(E702))*COS(RADIANS(E702)))</f>
        <v>1.30327933906033</v>
      </c>
    </row>
    <row r="703" customFormat="false" ht="15" hidden="false" customHeight="false" outlineLevel="0" collapsed="false">
      <c r="A703" s="0" t="n">
        <v>24.53</v>
      </c>
      <c r="B703" s="0" t="n">
        <v>33.914</v>
      </c>
      <c r="C703" s="0" t="n">
        <v>18.979</v>
      </c>
      <c r="D703" s="0" t="n">
        <v>14.611</v>
      </c>
      <c r="E703" s="0" t="n">
        <v>25.928</v>
      </c>
      <c r="F703" s="0" t="n">
        <v>0.17</v>
      </c>
      <c r="G703" s="12" t="n">
        <f aca="false">(A703+(C703*D703*COS(RADIANS(E703))^2-F703*C703*D703)*TAN(RADIANS(B703)))/(C703*D703*SIN(RADIANS(E703))*COS(RADIANS(E703)))</f>
        <v>1.31717998223921</v>
      </c>
    </row>
    <row r="704" customFormat="false" ht="15" hidden="false" customHeight="false" outlineLevel="0" collapsed="false">
      <c r="A704" s="0" t="n">
        <v>16.681</v>
      </c>
      <c r="B704" s="0" t="n">
        <v>32.223</v>
      </c>
      <c r="C704" s="0" t="n">
        <v>21.348</v>
      </c>
      <c r="D704" s="0" t="n">
        <v>13.814</v>
      </c>
      <c r="E704" s="0" t="n">
        <v>29.649</v>
      </c>
      <c r="F704" s="0" t="n">
        <v>0.1901</v>
      </c>
      <c r="G704" s="12" t="n">
        <f aca="false">(A704+(C704*D704*COS(RADIANS(E704))^2-F704*C704*D704)*TAN(RADIANS(B704)))/(C704*D704*SIN(RADIANS(E704))*COS(RADIANS(E704)))</f>
        <v>0.960181438196772</v>
      </c>
    </row>
    <row r="705" customFormat="false" ht="15" hidden="false" customHeight="false" outlineLevel="0" collapsed="false">
      <c r="A705" s="0" t="n">
        <v>16.551</v>
      </c>
      <c r="B705" s="0" t="n">
        <v>40.611</v>
      </c>
      <c r="C705" s="0" t="n">
        <v>21.587</v>
      </c>
      <c r="D705" s="0" t="n">
        <v>11.879</v>
      </c>
      <c r="E705" s="0" t="n">
        <v>29.718</v>
      </c>
      <c r="F705" s="0" t="n">
        <v>0.0741</v>
      </c>
      <c r="G705" s="12" t="n">
        <f aca="false">(A705+(C705*D705*COS(RADIANS(E705))^2-F705*C705*D705)*TAN(RADIANS(B705)))/(C705*D705*SIN(RADIANS(E705))*COS(RADIANS(E705)))</f>
        <v>1.50448974048592</v>
      </c>
    </row>
    <row r="706" customFormat="false" ht="15" hidden="false" customHeight="false" outlineLevel="0" collapsed="false">
      <c r="A706" s="0" t="n">
        <v>14.332</v>
      </c>
      <c r="B706" s="0" t="n">
        <v>30.45</v>
      </c>
      <c r="C706" s="0" t="n">
        <v>20.62</v>
      </c>
      <c r="D706" s="0" t="n">
        <v>12.173</v>
      </c>
      <c r="E706" s="0" t="n">
        <v>25.733</v>
      </c>
      <c r="F706" s="0" t="n">
        <v>0.1093</v>
      </c>
      <c r="G706" s="12" t="n">
        <f aca="false">(A706+(C706*D706*COS(RADIANS(E706))^2-F706*C706*D706)*TAN(RADIANS(B706)))/(C706*D706*SIN(RADIANS(E706))*COS(RADIANS(E706)))</f>
        <v>1.20140882981124</v>
      </c>
    </row>
    <row r="707" customFormat="false" ht="15" hidden="false" customHeight="false" outlineLevel="0" collapsed="false">
      <c r="A707" s="0" t="n">
        <v>18.267</v>
      </c>
      <c r="B707" s="0" t="n">
        <v>32.796</v>
      </c>
      <c r="C707" s="0" t="n">
        <v>20.085</v>
      </c>
      <c r="D707" s="0" t="n">
        <v>10.383</v>
      </c>
      <c r="E707" s="0" t="n">
        <v>26.657</v>
      </c>
      <c r="F707" s="0" t="n">
        <v>0.1114</v>
      </c>
      <c r="G707" s="12" t="n">
        <f aca="false">(A707+(C707*D707*COS(RADIANS(E707))^2-F707*C707*D707)*TAN(RADIANS(B707)))/(C707*D707*SIN(RADIANS(E707))*COS(RADIANS(E707)))</f>
        <v>1.32299649137605</v>
      </c>
    </row>
    <row r="708" customFormat="false" ht="15" hidden="false" customHeight="false" outlineLevel="0" collapsed="false">
      <c r="A708" s="0" t="n">
        <v>17.5</v>
      </c>
      <c r="B708" s="0" t="n">
        <v>34.975</v>
      </c>
      <c r="C708" s="0" t="n">
        <v>18.898</v>
      </c>
      <c r="D708" s="0" t="n">
        <v>18.165</v>
      </c>
      <c r="E708" s="0" t="n">
        <v>23.974</v>
      </c>
      <c r="F708" s="0" t="n">
        <v>0.1837</v>
      </c>
      <c r="G708" s="12" t="n">
        <f aca="false">(A708+(C708*D708*COS(RADIANS(E708))^2-F708*C708*D708)*TAN(RADIANS(B708)))/(C708*D708*SIN(RADIANS(E708))*COS(RADIANS(E708)))</f>
        <v>1.36432746620678</v>
      </c>
    </row>
    <row r="709" customFormat="false" ht="15" hidden="false" customHeight="false" outlineLevel="0" collapsed="false">
      <c r="A709" s="0" t="n">
        <v>20.007</v>
      </c>
      <c r="B709" s="0" t="n">
        <v>34.119</v>
      </c>
      <c r="C709" s="0" t="n">
        <v>20.671</v>
      </c>
      <c r="D709" s="0" t="n">
        <v>20.681</v>
      </c>
      <c r="E709" s="0" t="n">
        <v>31.229</v>
      </c>
      <c r="F709" s="0" t="n">
        <v>0.0726</v>
      </c>
      <c r="G709" s="12" t="n">
        <f aca="false">(A709+(C709*D709*COS(RADIANS(E709))^2-F709*C709*D709)*TAN(RADIANS(B709)))/(C709*D709*SIN(RADIANS(E709))*COS(RADIANS(E709)))</f>
        <v>1.11207783283079</v>
      </c>
    </row>
    <row r="710" customFormat="false" ht="15" hidden="false" customHeight="false" outlineLevel="0" collapsed="false">
      <c r="A710" s="0" t="n">
        <v>12.915</v>
      </c>
      <c r="B710" s="0" t="n">
        <v>35.379</v>
      </c>
      <c r="C710" s="0" t="n">
        <v>19.12</v>
      </c>
      <c r="D710" s="0" t="n">
        <v>20.36</v>
      </c>
      <c r="E710" s="0" t="n">
        <v>31.308</v>
      </c>
      <c r="F710" s="0" t="n">
        <v>0.0945</v>
      </c>
      <c r="G710" s="12" t="n">
        <f aca="false">(A710+(C710*D710*COS(RADIANS(E710))^2-F710*C710*D710)*TAN(RADIANS(B710)))/(C710*D710*SIN(RADIANS(E710))*COS(RADIANS(E710)))</f>
        <v>1.09113910848554</v>
      </c>
    </row>
    <row r="711" customFormat="false" ht="15" hidden="false" customHeight="false" outlineLevel="0" collapsed="false">
      <c r="A711" s="0" t="n">
        <v>13.258</v>
      </c>
      <c r="B711" s="0" t="n">
        <v>35.295</v>
      </c>
      <c r="C711" s="0" t="n">
        <v>22.277</v>
      </c>
      <c r="D711" s="0" t="n">
        <v>17.546</v>
      </c>
      <c r="E711" s="0" t="n">
        <v>27.741</v>
      </c>
      <c r="F711" s="0" t="n">
        <v>0.2526</v>
      </c>
      <c r="G711" s="12" t="n">
        <f aca="false">(A711+(C711*D711*COS(RADIANS(E711))^2-F711*C711*D711)*TAN(RADIANS(B711)))/(C711*D711*SIN(RADIANS(E711))*COS(RADIANS(E711)))</f>
        <v>0.994307836769729</v>
      </c>
    </row>
    <row r="712" customFormat="false" ht="15" hidden="false" customHeight="false" outlineLevel="0" collapsed="false">
      <c r="A712" s="0" t="n">
        <v>13.084</v>
      </c>
      <c r="B712" s="0" t="n">
        <v>41.589</v>
      </c>
      <c r="C712" s="0" t="n">
        <v>21.426</v>
      </c>
      <c r="D712" s="0" t="n">
        <v>15.404</v>
      </c>
      <c r="E712" s="0" t="n">
        <v>29.813</v>
      </c>
      <c r="F712" s="0" t="n">
        <v>0.0792</v>
      </c>
      <c r="G712" s="12" t="n">
        <f aca="false">(A712+(C712*D712*COS(RADIANS(E712))^2-F712*C712*D712)*TAN(RADIANS(B712)))/(C712*D712*SIN(RADIANS(E712))*COS(RADIANS(E712)))</f>
        <v>1.47779909199299</v>
      </c>
    </row>
    <row r="713" customFormat="false" ht="15" hidden="false" customHeight="false" outlineLevel="0" collapsed="false">
      <c r="A713" s="0" t="n">
        <v>18.163</v>
      </c>
      <c r="B713" s="0" t="n">
        <v>34.284</v>
      </c>
      <c r="C713" s="0" t="n">
        <v>19.274</v>
      </c>
      <c r="D713" s="0" t="n">
        <v>12.803</v>
      </c>
      <c r="E713" s="0" t="n">
        <v>28.565</v>
      </c>
      <c r="F713" s="0" t="n">
        <v>0.2398</v>
      </c>
      <c r="G713" s="12" t="n">
        <f aca="false">(A713+(C713*D713*COS(RADIANS(E713))^2-F713*C713*D713)*TAN(RADIANS(B713)))/(C713*D713*SIN(RADIANS(E713))*COS(RADIANS(E713)))</f>
        <v>1.03820807580955</v>
      </c>
    </row>
    <row r="714" customFormat="false" ht="15" hidden="false" customHeight="false" outlineLevel="0" collapsed="false">
      <c r="A714" s="0" t="n">
        <v>20.993</v>
      </c>
      <c r="B714" s="0" t="n">
        <v>36.08</v>
      </c>
      <c r="C714" s="0" t="n">
        <v>20.433</v>
      </c>
      <c r="D714" s="0" t="n">
        <v>15.265</v>
      </c>
      <c r="E714" s="0" t="n">
        <v>27.093</v>
      </c>
      <c r="F714" s="0" t="n">
        <v>0.148</v>
      </c>
      <c r="G714" s="12" t="n">
        <f aca="false">(A714+(C714*D714*COS(RADIANS(E714))^2-F714*C714*D714)*TAN(RADIANS(B714)))/(C714*D714*SIN(RADIANS(E714))*COS(RADIANS(E714)))</f>
        <v>1.32440660343966</v>
      </c>
    </row>
    <row r="715" customFormat="false" ht="15" hidden="false" customHeight="false" outlineLevel="0" collapsed="false">
      <c r="A715" s="0" t="n">
        <v>13.165</v>
      </c>
      <c r="B715" s="0" t="n">
        <v>35.157</v>
      </c>
      <c r="C715" s="0" t="n">
        <v>19.274</v>
      </c>
      <c r="D715" s="0" t="n">
        <v>14.899</v>
      </c>
      <c r="E715" s="0" t="n">
        <v>26.53</v>
      </c>
      <c r="F715" s="0" t="n">
        <v>0.1338</v>
      </c>
      <c r="G715" s="12" t="n">
        <f aca="false">(A715+(C715*D715*COS(RADIANS(E715))^2-F715*C715*D715)*TAN(RADIANS(B715)))/(C715*D715*SIN(RADIANS(E715))*COS(RADIANS(E715)))</f>
        <v>1.28966827345042</v>
      </c>
    </row>
    <row r="716" customFormat="false" ht="15" hidden="false" customHeight="false" outlineLevel="0" collapsed="false">
      <c r="A716" s="0" t="n">
        <v>13.301</v>
      </c>
      <c r="B716" s="0" t="n">
        <v>27.709</v>
      </c>
      <c r="C716" s="0" t="n">
        <v>20.282</v>
      </c>
      <c r="D716" s="0" t="n">
        <v>10.15</v>
      </c>
      <c r="E716" s="0" t="n">
        <v>29.395</v>
      </c>
      <c r="F716" s="0" t="n">
        <v>0.1495</v>
      </c>
      <c r="G716" s="12" t="n">
        <f aca="false">(A716+(C716*D716*COS(RADIANS(E716))^2-F716*C716*D716)*TAN(RADIANS(B716)))/(C716*D716*SIN(RADIANS(E716))*COS(RADIANS(E716)))</f>
        <v>0.899768526500737</v>
      </c>
    </row>
    <row r="717" customFormat="false" ht="15" hidden="false" customHeight="false" outlineLevel="0" collapsed="false">
      <c r="A717" s="0" t="n">
        <v>16.256</v>
      </c>
      <c r="B717" s="0" t="n">
        <v>31.399</v>
      </c>
      <c r="C717" s="0" t="n">
        <v>21.019</v>
      </c>
      <c r="D717" s="0" t="n">
        <v>13.011</v>
      </c>
      <c r="E717" s="0" t="n">
        <v>29.256</v>
      </c>
      <c r="F717" s="0" t="n">
        <v>0.1474</v>
      </c>
      <c r="G717" s="12" t="n">
        <f aca="false">(A717+(C717*D717*COS(RADIANS(E717))^2-F717*C717*D717)*TAN(RADIANS(B717)))/(C717*D717*SIN(RADIANS(E717))*COS(RADIANS(E717)))</f>
        <v>1.01804250596774</v>
      </c>
    </row>
    <row r="718" customFormat="false" ht="15" hidden="false" customHeight="false" outlineLevel="0" collapsed="false">
      <c r="A718" s="0" t="n">
        <v>14.017</v>
      </c>
      <c r="B718" s="0" t="n">
        <v>28.362</v>
      </c>
      <c r="C718" s="0" t="n">
        <v>20.174</v>
      </c>
      <c r="D718" s="0" t="n">
        <v>15.649</v>
      </c>
      <c r="E718" s="0" t="n">
        <v>32.51</v>
      </c>
      <c r="F718" s="0" t="n">
        <v>0.1178</v>
      </c>
      <c r="G718" s="12" t="n">
        <f aca="false">(A718+(C718*D718*COS(RADIANS(E718))^2-F718*C718*D718)*TAN(RADIANS(B718)))/(C718*D718*SIN(RADIANS(E718))*COS(RADIANS(E718)))</f>
        <v>0.804705134592366</v>
      </c>
    </row>
    <row r="719" customFormat="false" ht="15" hidden="false" customHeight="false" outlineLevel="0" collapsed="false">
      <c r="A719" s="0" t="n">
        <v>18.808</v>
      </c>
      <c r="B719" s="0" t="n">
        <v>31.642</v>
      </c>
      <c r="C719" s="0" t="n">
        <v>19.905</v>
      </c>
      <c r="D719" s="0" t="n">
        <v>9.261</v>
      </c>
      <c r="E719" s="0" t="n">
        <v>27.464</v>
      </c>
      <c r="F719" s="0" t="n">
        <v>0.2539</v>
      </c>
      <c r="G719" s="12" t="n">
        <f aca="false">(A719+(C719*D719*COS(RADIANS(E719))^2-F719*C719*D719)*TAN(RADIANS(B719)))/(C719*D719*SIN(RADIANS(E719))*COS(RADIANS(E719)))</f>
        <v>1.05254981306884</v>
      </c>
    </row>
    <row r="720" customFormat="false" ht="15" hidden="false" customHeight="false" outlineLevel="0" collapsed="false">
      <c r="A720" s="0" t="n">
        <v>5.993</v>
      </c>
      <c r="B720" s="0" t="n">
        <v>34.401</v>
      </c>
      <c r="C720" s="0" t="n">
        <v>20.695</v>
      </c>
      <c r="D720" s="0" t="n">
        <v>15.094</v>
      </c>
      <c r="E720" s="0" t="n">
        <v>30.258</v>
      </c>
      <c r="F720" s="0" t="n">
        <v>0.1854</v>
      </c>
      <c r="G720" s="12" t="n">
        <f aca="false">(A720+(C720*D720*COS(RADIANS(E720))^2-F720*C720*D720)*TAN(RADIANS(B720)))/(C720*D720*SIN(RADIANS(E720))*COS(RADIANS(E720)))</f>
        <v>0.926170523660387</v>
      </c>
    </row>
    <row r="721" customFormat="false" ht="15" hidden="false" customHeight="false" outlineLevel="0" collapsed="false">
      <c r="A721" s="0" t="n">
        <v>11.693</v>
      </c>
      <c r="B721" s="0" t="n">
        <v>37.496</v>
      </c>
      <c r="C721" s="0" t="n">
        <v>20.778</v>
      </c>
      <c r="D721" s="0" t="n">
        <v>8.115</v>
      </c>
      <c r="E721" s="0" t="n">
        <v>27.602</v>
      </c>
      <c r="F721" s="0" t="n">
        <v>0.1197</v>
      </c>
      <c r="G721" s="12" t="n">
        <f aca="false">(A721+(C721*D721*COS(RADIANS(E721))^2-F721*C721*D721)*TAN(RADIANS(B721)))/(C721*D721*SIN(RADIANS(E721))*COS(RADIANS(E721)))</f>
        <v>1.41265534964174</v>
      </c>
    </row>
    <row r="722" customFormat="false" ht="15" hidden="false" customHeight="false" outlineLevel="0" collapsed="false">
      <c r="A722" s="0" t="n">
        <v>11.87</v>
      </c>
      <c r="B722" s="0" t="n">
        <v>38.935</v>
      </c>
      <c r="C722" s="0" t="n">
        <v>18.87</v>
      </c>
      <c r="D722" s="0" t="n">
        <v>11.328</v>
      </c>
      <c r="E722" s="0" t="n">
        <v>25.543</v>
      </c>
      <c r="F722" s="0" t="n">
        <v>0.1788</v>
      </c>
      <c r="G722" s="12" t="n">
        <f aca="false">(A722+(C722*D722*COS(RADIANS(E722))^2-F722*C722*D722)*TAN(RADIANS(B722)))/(C722*D722*SIN(RADIANS(E722))*COS(RADIANS(E722)))</f>
        <v>1.46197639792664</v>
      </c>
    </row>
    <row r="723" customFormat="false" ht="15" hidden="false" customHeight="false" outlineLevel="0" collapsed="false">
      <c r="A723" s="0" t="n">
        <v>5.719</v>
      </c>
      <c r="B723" s="0" t="n">
        <v>42.458</v>
      </c>
      <c r="C723" s="0" t="n">
        <v>19.655</v>
      </c>
      <c r="D723" s="0" t="n">
        <v>10.076</v>
      </c>
      <c r="E723" s="0" t="n">
        <v>28.073</v>
      </c>
      <c r="F723" s="0" t="n">
        <v>0.0989</v>
      </c>
      <c r="G723" s="12" t="n">
        <f aca="false">(A723+(C723*D723*COS(RADIANS(E723))^2-F723*C723*D723)*TAN(RADIANS(B723)))/(C723*D723*SIN(RADIANS(E723))*COS(RADIANS(E723)))</f>
        <v>1.56717085692611</v>
      </c>
    </row>
    <row r="724" customFormat="false" ht="15" hidden="false" customHeight="false" outlineLevel="0" collapsed="false">
      <c r="A724" s="0" t="n">
        <v>11.145</v>
      </c>
      <c r="B724" s="0" t="n">
        <v>35.168</v>
      </c>
      <c r="C724" s="0" t="n">
        <v>19.991</v>
      </c>
      <c r="D724" s="0" t="n">
        <v>10.629</v>
      </c>
      <c r="E724" s="0" t="n">
        <v>28.359</v>
      </c>
      <c r="F724" s="0" t="n">
        <v>0.0972</v>
      </c>
      <c r="G724" s="12" t="n">
        <f aca="false">(A724+(C724*D724*COS(RADIANS(E724))^2-F724*C724*D724)*TAN(RADIANS(B724)))/(C724*D724*SIN(RADIANS(E724))*COS(RADIANS(E724)))</f>
        <v>1.26697499346329</v>
      </c>
    </row>
    <row r="725" customFormat="false" ht="15" hidden="false" customHeight="false" outlineLevel="0" collapsed="false">
      <c r="A725" s="0" t="n">
        <v>11.339</v>
      </c>
      <c r="B725" s="0" t="n">
        <v>35</v>
      </c>
      <c r="C725" s="0" t="n">
        <v>20.099</v>
      </c>
      <c r="D725" s="0" t="n">
        <v>8.232</v>
      </c>
      <c r="E725" s="0" t="n">
        <v>28.586</v>
      </c>
      <c r="F725" s="0" t="n">
        <v>0.1345</v>
      </c>
      <c r="G725" s="12" t="n">
        <f aca="false">(A725+(C725*D725*COS(RADIANS(E725))^2-F725*C725*D725)*TAN(RADIANS(B725)))/(C725*D725*SIN(RADIANS(E725))*COS(RADIANS(E725)))</f>
        <v>1.22397927009297</v>
      </c>
    </row>
    <row r="726" customFormat="false" ht="15" hidden="false" customHeight="false" outlineLevel="0" collapsed="false">
      <c r="A726" s="0" t="n">
        <v>14.196</v>
      </c>
      <c r="B726" s="0" t="n">
        <v>30.56</v>
      </c>
      <c r="C726" s="0" t="n">
        <v>21.773</v>
      </c>
      <c r="D726" s="0" t="n">
        <v>17.316</v>
      </c>
      <c r="E726" s="0" t="n">
        <v>26.019</v>
      </c>
      <c r="F726" s="0" t="n">
        <v>0.2127</v>
      </c>
      <c r="G726" s="12" t="n">
        <f aca="false">(A726+(C726*D726*COS(RADIANS(E726))^2-F726*C726*D726)*TAN(RADIANS(B726)))/(C726*D726*SIN(RADIANS(E726))*COS(RADIANS(E726)))</f>
        <v>0.986525022213414</v>
      </c>
    </row>
    <row r="727" customFormat="false" ht="15" hidden="false" customHeight="false" outlineLevel="0" collapsed="false">
      <c r="A727" s="0" t="n">
        <v>19.452</v>
      </c>
      <c r="B727" s="0" t="n">
        <v>31.897</v>
      </c>
      <c r="C727" s="0" t="n">
        <v>19.661</v>
      </c>
      <c r="D727" s="0" t="n">
        <v>18.342</v>
      </c>
      <c r="E727" s="0" t="n">
        <v>28.846</v>
      </c>
      <c r="F727" s="0" t="n">
        <v>0.2496</v>
      </c>
      <c r="G727" s="12" t="n">
        <f aca="false">(A727+(C727*D727*COS(RADIANS(E727))^2-F727*C727*D727)*TAN(RADIANS(B727)))/(C727*D727*SIN(RADIANS(E727))*COS(RADIANS(E727)))</f>
        <v>0.889985181869235</v>
      </c>
    </row>
    <row r="728" customFormat="false" ht="15" hidden="false" customHeight="false" outlineLevel="0" collapsed="false">
      <c r="A728" s="0" t="n">
        <v>14.02</v>
      </c>
      <c r="B728" s="0" t="n">
        <v>37.326</v>
      </c>
      <c r="C728" s="0" t="n">
        <v>19.674</v>
      </c>
      <c r="D728" s="0" t="n">
        <v>8.302</v>
      </c>
      <c r="E728" s="0" t="n">
        <v>24.681</v>
      </c>
      <c r="F728" s="0" t="n">
        <v>0.1117</v>
      </c>
      <c r="G728" s="12" t="n">
        <f aca="false">(A728+(C728*D728*COS(RADIANS(E728))^2-F728*C728*D728)*TAN(RADIANS(B728)))/(C728*D728*SIN(RADIANS(E728))*COS(RADIANS(E728)))</f>
        <v>1.66102159026515</v>
      </c>
    </row>
    <row r="729" customFormat="false" ht="15" hidden="false" customHeight="false" outlineLevel="0" collapsed="false">
      <c r="A729" s="0" t="n">
        <v>10.877</v>
      </c>
      <c r="B729" s="0" t="n">
        <v>40.695</v>
      </c>
      <c r="C729" s="0" t="n">
        <v>19.298</v>
      </c>
      <c r="D729" s="0" t="n">
        <v>13.124</v>
      </c>
      <c r="E729" s="0" t="n">
        <v>26.488</v>
      </c>
      <c r="F729" s="0" t="n">
        <v>0.1698</v>
      </c>
      <c r="G729" s="12" t="n">
        <f aca="false">(A729+(C729*D729*COS(RADIANS(E729))^2-F729*C729*D729)*TAN(RADIANS(B729)))/(C729*D729*SIN(RADIANS(E729))*COS(RADIANS(E729)))</f>
        <v>1.46754785344088</v>
      </c>
    </row>
    <row r="730" customFormat="false" ht="15" hidden="false" customHeight="false" outlineLevel="0" collapsed="false">
      <c r="A730" s="0" t="n">
        <v>14.772</v>
      </c>
      <c r="B730" s="0" t="n">
        <v>39.088</v>
      </c>
      <c r="C730" s="0" t="n">
        <v>20.335</v>
      </c>
      <c r="D730" s="0" t="n">
        <v>18.143</v>
      </c>
      <c r="E730" s="0" t="n">
        <v>24.618</v>
      </c>
      <c r="F730" s="0" t="n">
        <v>0.2397</v>
      </c>
      <c r="G730" s="12" t="n">
        <f aca="false">(A730+(C730*D730*COS(RADIANS(E730))^2-F730*C730*D730)*TAN(RADIANS(B730)))/(C730*D730*SIN(RADIANS(E730))*COS(RADIANS(E730)))</f>
        <v>1.36437422692869</v>
      </c>
    </row>
    <row r="731" customFormat="false" ht="15" hidden="false" customHeight="false" outlineLevel="0" collapsed="false">
      <c r="A731" s="0" t="n">
        <v>19.197</v>
      </c>
      <c r="B731" s="0" t="n">
        <v>33.056</v>
      </c>
      <c r="C731" s="0" t="n">
        <v>18.322</v>
      </c>
      <c r="D731" s="0" t="n">
        <v>14.049</v>
      </c>
      <c r="E731" s="0" t="n">
        <v>29.102</v>
      </c>
      <c r="F731" s="0" t="n">
        <v>0.1292</v>
      </c>
      <c r="G731" s="12" t="n">
        <f aca="false">(A731+(C731*D731*COS(RADIANS(E731))^2-F731*C731*D731)*TAN(RADIANS(B731)))/(C731*D731*SIN(RADIANS(E731))*COS(RADIANS(E731)))</f>
        <v>1.14679222390965</v>
      </c>
    </row>
    <row r="732" customFormat="false" ht="15" hidden="false" customHeight="false" outlineLevel="0" collapsed="false">
      <c r="A732" s="0" t="n">
        <v>11.096</v>
      </c>
      <c r="B732" s="0" t="n">
        <v>31.432</v>
      </c>
      <c r="C732" s="0" t="n">
        <v>19.795</v>
      </c>
      <c r="D732" s="0" t="n">
        <v>17.689</v>
      </c>
      <c r="E732" s="0" t="n">
        <v>25.73</v>
      </c>
      <c r="F732" s="0" t="n">
        <v>0.0675</v>
      </c>
      <c r="G732" s="12" t="n">
        <f aca="false">(A732+(C732*D732*COS(RADIANS(E732))^2-F732*C732*D732)*TAN(RADIANS(B732)))/(C732*D732*SIN(RADIANS(E732))*COS(RADIANS(E732)))</f>
        <v>1.24375907982054</v>
      </c>
    </row>
    <row r="733" customFormat="false" ht="15" hidden="false" customHeight="false" outlineLevel="0" collapsed="false">
      <c r="A733" s="0" t="n">
        <v>11.358</v>
      </c>
      <c r="B733" s="0" t="n">
        <v>29.451</v>
      </c>
      <c r="C733" s="0" t="n">
        <v>20.499</v>
      </c>
      <c r="D733" s="0" t="n">
        <v>16.522</v>
      </c>
      <c r="E733" s="0" t="n">
        <v>29.481</v>
      </c>
      <c r="F733" s="0" t="n">
        <v>0.1349</v>
      </c>
      <c r="G733" s="12" t="n">
        <f aca="false">(A733+(C733*D733*COS(RADIANS(E733))^2-F733*C733*D733)*TAN(RADIANS(B733)))/(C733*D733*SIN(RADIANS(E733))*COS(RADIANS(E733)))</f>
        <v>0.899259933468381</v>
      </c>
    </row>
    <row r="734" customFormat="false" ht="15" hidden="false" customHeight="false" outlineLevel="0" collapsed="false">
      <c r="A734" s="0" t="n">
        <v>17.234</v>
      </c>
      <c r="B734" s="0" t="n">
        <v>34.656</v>
      </c>
      <c r="C734" s="0" t="n">
        <v>20.673</v>
      </c>
      <c r="D734" s="0" t="n">
        <v>20.544</v>
      </c>
      <c r="E734" s="0" t="n">
        <v>28.812</v>
      </c>
      <c r="F734" s="0" t="n">
        <v>0.2692</v>
      </c>
      <c r="G734" s="12" t="n">
        <f aca="false">(A734+(C734*D734*COS(RADIANS(E734))^2-F734*C734*D734)*TAN(RADIANS(B734)))/(C734*D734*SIN(RADIANS(E734))*COS(RADIANS(E734)))</f>
        <v>0.9122362345431</v>
      </c>
    </row>
    <row r="735" customFormat="false" ht="15" hidden="false" customHeight="false" outlineLevel="0" collapsed="false">
      <c r="A735" s="0" t="n">
        <v>14.114</v>
      </c>
      <c r="B735" s="0" t="n">
        <v>40.757</v>
      </c>
      <c r="C735" s="0" t="n">
        <v>20.584</v>
      </c>
      <c r="D735" s="0" t="n">
        <v>19.603</v>
      </c>
      <c r="E735" s="0" t="n">
        <v>24.784</v>
      </c>
      <c r="F735" s="0" t="n">
        <v>0.089</v>
      </c>
      <c r="G735" s="12" t="n">
        <f aca="false">(A735+(C735*D735*COS(RADIANS(E735))^2-F735*C735*D735)*TAN(RADIANS(B735)))/(C735*D735*SIN(RADIANS(E735))*COS(RADIANS(E735)))</f>
        <v>1.75698118838625</v>
      </c>
    </row>
    <row r="736" customFormat="false" ht="15" hidden="false" customHeight="false" outlineLevel="0" collapsed="false">
      <c r="A736" s="0" t="n">
        <v>17.59</v>
      </c>
      <c r="B736" s="0" t="n">
        <v>33.357</v>
      </c>
      <c r="C736" s="0" t="n">
        <v>19.628</v>
      </c>
      <c r="D736" s="0" t="n">
        <v>14.564</v>
      </c>
      <c r="E736" s="0" t="n">
        <v>26.511</v>
      </c>
      <c r="F736" s="0" t="n">
        <v>0.1209</v>
      </c>
      <c r="G736" s="12" t="n">
        <f aca="false">(A736+(C736*D736*COS(RADIANS(E736))^2-F736*C736*D736)*TAN(RADIANS(B736)))/(C736*D736*SIN(RADIANS(E736))*COS(RADIANS(E736)))</f>
        <v>1.27451245491193</v>
      </c>
    </row>
    <row r="737" customFormat="false" ht="15" hidden="false" customHeight="false" outlineLevel="0" collapsed="false">
      <c r="A737" s="0" t="n">
        <v>14.945</v>
      </c>
      <c r="B737" s="0" t="n">
        <v>32.991</v>
      </c>
      <c r="C737" s="0" t="n">
        <v>19.687</v>
      </c>
      <c r="D737" s="0" t="n">
        <v>19.676</v>
      </c>
      <c r="E737" s="0" t="n">
        <v>27.666</v>
      </c>
      <c r="F737" s="0" t="n">
        <v>0.1706</v>
      </c>
      <c r="G737" s="12" t="n">
        <f aca="false">(A737+(C737*D737*COS(RADIANS(E737))^2-F737*C737*D737)*TAN(RADIANS(B737)))/(C737*D737*SIN(RADIANS(E737))*COS(RADIANS(E737)))</f>
        <v>1.06280292764734</v>
      </c>
    </row>
    <row r="738" customFormat="false" ht="15" hidden="false" customHeight="false" outlineLevel="0" collapsed="false">
      <c r="A738" s="0" t="n">
        <v>17.807</v>
      </c>
      <c r="B738" s="0" t="n">
        <v>34.132</v>
      </c>
      <c r="C738" s="0" t="n">
        <v>20.155</v>
      </c>
      <c r="D738" s="0" t="n">
        <v>16.745</v>
      </c>
      <c r="E738" s="0" t="n">
        <v>26.171</v>
      </c>
      <c r="F738" s="0" t="n">
        <v>0.0992</v>
      </c>
      <c r="G738" s="12" t="n">
        <f aca="false">(A738+(C738*D738*COS(RADIANS(E738))^2-F738*C738*D738)*TAN(RADIANS(B738)))/(C738*D738*SIN(RADIANS(E738))*COS(RADIANS(E738)))</f>
        <v>1.34278090760443</v>
      </c>
    </row>
    <row r="739" customFormat="false" ht="15" hidden="false" customHeight="false" outlineLevel="0" collapsed="false">
      <c r="A739" s="0" t="n">
        <v>10.86</v>
      </c>
      <c r="B739" s="0" t="n">
        <v>34.058</v>
      </c>
      <c r="C739" s="0" t="n">
        <v>19.931</v>
      </c>
      <c r="D739" s="0" t="n">
        <v>12.712</v>
      </c>
      <c r="E739" s="0" t="n">
        <v>28.427</v>
      </c>
      <c r="F739" s="0" t="n">
        <v>0.1839</v>
      </c>
      <c r="G739" s="12" t="n">
        <f aca="false">(A739+(C739*D739*COS(RADIANS(E739))^2-F739*C739*D739)*TAN(RADIANS(B739)))/(C739*D739*SIN(RADIANS(E739))*COS(RADIANS(E739)))</f>
        <v>1.05423837947576</v>
      </c>
    </row>
    <row r="740" customFormat="false" ht="15" hidden="false" customHeight="false" outlineLevel="0" collapsed="false">
      <c r="A740" s="0" t="n">
        <v>14.952</v>
      </c>
      <c r="B740" s="0" t="n">
        <v>35.129</v>
      </c>
      <c r="C740" s="0" t="n">
        <v>19.9</v>
      </c>
      <c r="D740" s="0" t="n">
        <v>14.788</v>
      </c>
      <c r="E740" s="0" t="n">
        <v>27.844</v>
      </c>
      <c r="F740" s="0" t="n">
        <v>0.0684</v>
      </c>
      <c r="G740" s="12" t="n">
        <f aca="false">(A740+(C740*D740*COS(RADIANS(E740))^2-F740*C740*D740)*TAN(RADIANS(B740)))/(C740*D740*SIN(RADIANS(E740))*COS(RADIANS(E740)))</f>
        <v>1.33845558705047</v>
      </c>
    </row>
    <row r="741" customFormat="false" ht="15" hidden="false" customHeight="false" outlineLevel="0" collapsed="false">
      <c r="A741" s="0" t="n">
        <v>14.157</v>
      </c>
      <c r="B741" s="0" t="n">
        <v>27.328</v>
      </c>
      <c r="C741" s="0" t="n">
        <v>19.234</v>
      </c>
      <c r="D741" s="0" t="n">
        <v>12.111</v>
      </c>
      <c r="E741" s="0" t="n">
        <v>27.956</v>
      </c>
      <c r="F741" s="0" t="n">
        <v>0.1948</v>
      </c>
      <c r="G741" s="12" t="n">
        <f aca="false">(A741+(C741*D741*COS(RADIANS(E741))^2-F741*C741*D741)*TAN(RADIANS(B741)))/(C741*D741*SIN(RADIANS(E741))*COS(RADIANS(E741)))</f>
        <v>0.877351096786656</v>
      </c>
    </row>
    <row r="742" customFormat="false" ht="15" hidden="false" customHeight="false" outlineLevel="0" collapsed="false">
      <c r="A742" s="0" t="n">
        <v>10.136</v>
      </c>
      <c r="B742" s="0" t="n">
        <v>31.92</v>
      </c>
      <c r="C742" s="0" t="n">
        <v>19.88</v>
      </c>
      <c r="D742" s="0" t="n">
        <v>20.162</v>
      </c>
      <c r="E742" s="0" t="n">
        <v>30.173</v>
      </c>
      <c r="F742" s="0" t="n">
        <v>0.1734</v>
      </c>
      <c r="G742" s="12" t="n">
        <f aca="false">(A742+(C742*D742*COS(RADIANS(E742))^2-F742*C742*D742)*TAN(RADIANS(B742)))/(C742*D742*SIN(RADIANS(E742))*COS(RADIANS(E742)))</f>
        <v>0.881069782513464</v>
      </c>
    </row>
    <row r="743" customFormat="false" ht="15" hidden="false" customHeight="false" outlineLevel="0" collapsed="false">
      <c r="A743" s="0" t="n">
        <v>8.746</v>
      </c>
      <c r="B743" s="0" t="n">
        <v>33.713</v>
      </c>
      <c r="C743" s="0" t="n">
        <v>18.239</v>
      </c>
      <c r="D743" s="0" t="n">
        <v>14.424</v>
      </c>
      <c r="E743" s="0" t="n">
        <v>27.811</v>
      </c>
      <c r="F743" s="0" t="n">
        <v>0.1529</v>
      </c>
      <c r="G743" s="12" t="n">
        <f aca="false">(A743+(C743*D743*COS(RADIANS(E743))^2-F743*C743*D743)*TAN(RADIANS(B743)))/(C743*D743*SIN(RADIANS(E743))*COS(RADIANS(E743)))</f>
        <v>1.09828850256646</v>
      </c>
    </row>
    <row r="744" customFormat="false" ht="15" hidden="false" customHeight="false" outlineLevel="0" collapsed="false">
      <c r="A744" s="0" t="n">
        <v>17.743</v>
      </c>
      <c r="B744" s="0" t="n">
        <v>35.695</v>
      </c>
      <c r="C744" s="0" t="n">
        <v>20.24</v>
      </c>
      <c r="D744" s="0" t="n">
        <v>11.062</v>
      </c>
      <c r="E744" s="0" t="n">
        <v>29.112</v>
      </c>
      <c r="F744" s="0" t="n">
        <v>0.1096</v>
      </c>
      <c r="G744" s="12" t="n">
        <f aca="false">(A744+(C744*D744*COS(RADIANS(E744))^2-F744*C744*D744)*TAN(RADIANS(B744)))/(C744*D744*SIN(RADIANS(E744))*COS(RADIANS(E744)))</f>
        <v>1.29133726978219</v>
      </c>
    </row>
    <row r="745" customFormat="false" ht="15" hidden="false" customHeight="false" outlineLevel="0" collapsed="false">
      <c r="A745" s="0" t="n">
        <v>13.596</v>
      </c>
      <c r="B745" s="0" t="n">
        <v>33.174</v>
      </c>
      <c r="C745" s="0" t="n">
        <v>19.344</v>
      </c>
      <c r="D745" s="0" t="n">
        <v>17.388</v>
      </c>
      <c r="E745" s="0" t="n">
        <v>26.208</v>
      </c>
      <c r="F745" s="0" t="n">
        <v>0.0948</v>
      </c>
      <c r="G745" s="12" t="n">
        <f aca="false">(A745+(C745*D745*COS(RADIANS(E745))^2-F745*C745*D745)*TAN(RADIANS(B745)))/(C745*D745*SIN(RADIANS(E745))*COS(RADIANS(E745)))</f>
        <v>1.27370112641366</v>
      </c>
    </row>
    <row r="746" customFormat="false" ht="15" hidden="false" customHeight="false" outlineLevel="0" collapsed="false">
      <c r="A746" s="0" t="n">
        <v>10.911</v>
      </c>
      <c r="B746" s="0" t="n">
        <v>35.518</v>
      </c>
      <c r="C746" s="0" t="n">
        <v>20.207</v>
      </c>
      <c r="D746" s="0" t="n">
        <v>17.043</v>
      </c>
      <c r="E746" s="0" t="n">
        <v>27.172</v>
      </c>
      <c r="F746" s="0" t="n">
        <v>0.0136</v>
      </c>
      <c r="G746" s="12" t="n">
        <f aca="false">(A746+(C746*D746*COS(RADIANS(E746))^2-F746*C746*D746)*TAN(RADIANS(B746)))/(C746*D746*SIN(RADIANS(E746))*COS(RADIANS(E746)))</f>
        <v>1.44460212639469</v>
      </c>
    </row>
    <row r="747" customFormat="false" ht="15" hidden="false" customHeight="false" outlineLevel="0" collapsed="false">
      <c r="A747" s="0" t="n">
        <v>14.615</v>
      </c>
      <c r="B747" s="0" t="n">
        <v>33.001</v>
      </c>
      <c r="C747" s="0" t="n">
        <v>20.206</v>
      </c>
      <c r="D747" s="0" t="n">
        <v>21.138</v>
      </c>
      <c r="E747" s="0" t="n">
        <v>22.913</v>
      </c>
      <c r="F747" s="0" t="n">
        <v>0.0469</v>
      </c>
      <c r="G747" s="12" t="n">
        <f aca="false">(A747+(C747*D747*COS(RADIANS(E747))^2-F747*C747*D747)*TAN(RADIANS(B747)))/(C747*D747*SIN(RADIANS(E747))*COS(RADIANS(E747)))</f>
        <v>1.54693296275188</v>
      </c>
    </row>
    <row r="748" customFormat="false" ht="15" hidden="false" customHeight="false" outlineLevel="0" collapsed="false">
      <c r="A748" s="0" t="n">
        <v>19.512</v>
      </c>
      <c r="B748" s="0" t="n">
        <v>37.408</v>
      </c>
      <c r="C748" s="0" t="n">
        <v>20.238</v>
      </c>
      <c r="D748" s="0" t="n">
        <v>17.546</v>
      </c>
      <c r="E748" s="0" t="n">
        <v>26.932</v>
      </c>
      <c r="F748" s="0" t="n">
        <v>0.0776</v>
      </c>
      <c r="G748" s="12" t="n">
        <f aca="false">(A748+(C748*D748*COS(RADIANS(E748))^2-F748*C748*D748)*TAN(RADIANS(B748)))/(C748*D748*SIN(RADIANS(E748))*COS(RADIANS(E748)))</f>
        <v>1.49448533049513</v>
      </c>
    </row>
    <row r="749" customFormat="false" ht="15" hidden="false" customHeight="false" outlineLevel="0" collapsed="false">
      <c r="A749" s="0" t="n">
        <v>5.877</v>
      </c>
      <c r="B749" s="0" t="n">
        <v>35.85</v>
      </c>
      <c r="C749" s="0" t="n">
        <v>19.434</v>
      </c>
      <c r="D749" s="0" t="n">
        <v>12.76</v>
      </c>
      <c r="E749" s="0" t="n">
        <v>26.398</v>
      </c>
      <c r="F749" s="0" t="n">
        <v>0.2381</v>
      </c>
      <c r="G749" s="12" t="n">
        <f aca="false">(A749+(C749*D749*COS(RADIANS(E749))^2-F749*C749*D749)*TAN(RADIANS(B749)))/(C749*D749*SIN(RADIANS(E749))*COS(RADIANS(E749)))</f>
        <v>1.08321138469537</v>
      </c>
    </row>
    <row r="750" customFormat="false" ht="15" hidden="false" customHeight="false" outlineLevel="0" collapsed="false">
      <c r="A750" s="0" t="n">
        <v>9.013</v>
      </c>
      <c r="B750" s="0" t="n">
        <v>35.46</v>
      </c>
      <c r="C750" s="0" t="n">
        <v>21.263</v>
      </c>
      <c r="D750" s="0" t="n">
        <v>17.282</v>
      </c>
      <c r="E750" s="0" t="n">
        <v>29.766</v>
      </c>
      <c r="F750" s="0" t="n">
        <v>0.3333</v>
      </c>
      <c r="G750" s="12" t="n">
        <f aca="false">(A750+(C750*D750*COS(RADIANS(E750))^2-F750*C750*D750)*TAN(RADIANS(B750)))/(C750*D750*SIN(RADIANS(E750))*COS(RADIANS(E750)))</f>
        <v>0.751424402848784</v>
      </c>
    </row>
    <row r="751" customFormat="false" ht="15" hidden="false" customHeight="false" outlineLevel="0" collapsed="false">
      <c r="A751" s="0" t="n">
        <v>11.308</v>
      </c>
      <c r="B751" s="0" t="n">
        <v>37.328</v>
      </c>
      <c r="C751" s="0" t="n">
        <v>18.385</v>
      </c>
      <c r="D751" s="0" t="n">
        <v>15.099</v>
      </c>
      <c r="E751" s="0" t="n">
        <v>29.022</v>
      </c>
      <c r="F751" s="0" t="n">
        <v>0.1343</v>
      </c>
      <c r="G751" s="12" t="n">
        <f aca="false">(A751+(C751*D751*COS(RADIANS(E751))^2-F751*C751*D751)*TAN(RADIANS(B751)))/(C751*D751*SIN(RADIANS(E751))*COS(RADIANS(E751)))</f>
        <v>1.2290774921419</v>
      </c>
    </row>
    <row r="752" customFormat="false" ht="15" hidden="false" customHeight="false" outlineLevel="0" collapsed="false">
      <c r="A752" s="0" t="n">
        <v>20.845</v>
      </c>
      <c r="B752" s="0" t="n">
        <v>36.645</v>
      </c>
      <c r="C752" s="0" t="n">
        <v>21.131</v>
      </c>
      <c r="D752" s="0" t="n">
        <v>12.864</v>
      </c>
      <c r="E752" s="0" t="n">
        <v>29.026</v>
      </c>
      <c r="F752" s="0" t="n">
        <v>0.2751</v>
      </c>
      <c r="G752" s="12" t="n">
        <f aca="false">(A752+(C752*D752*COS(RADIANS(E752))^2-F752*C752*D752)*TAN(RADIANS(B752)))/(C752*D752*SIN(RADIANS(E752))*COS(RADIANS(E752)))</f>
        <v>1.03896779451218</v>
      </c>
    </row>
    <row r="753" customFormat="false" ht="15" hidden="false" customHeight="false" outlineLevel="0" collapsed="false">
      <c r="A753" s="0" t="n">
        <v>16.13</v>
      </c>
      <c r="B753" s="0" t="n">
        <v>33.199</v>
      </c>
      <c r="C753" s="0" t="n">
        <v>20.118</v>
      </c>
      <c r="D753" s="0" t="n">
        <v>17.374</v>
      </c>
      <c r="E753" s="0" t="n">
        <v>29.143</v>
      </c>
      <c r="F753" s="0" t="n">
        <v>0.2202</v>
      </c>
      <c r="G753" s="12" t="n">
        <f aca="false">(A753+(C753*D753*COS(RADIANS(E753))^2-F753*C753*D753)*TAN(RADIANS(B753)))/(C753*D753*SIN(RADIANS(E753))*COS(RADIANS(E753)))</f>
        <v>0.943307434999237</v>
      </c>
    </row>
    <row r="754" customFormat="false" ht="15" hidden="false" customHeight="false" outlineLevel="0" collapsed="false">
      <c r="A754" s="0" t="n">
        <v>18.069</v>
      </c>
      <c r="B754" s="0" t="n">
        <v>32.487</v>
      </c>
      <c r="C754" s="0" t="n">
        <v>19.282</v>
      </c>
      <c r="D754" s="0" t="n">
        <v>16.468</v>
      </c>
      <c r="E754" s="0" t="n">
        <v>27.115</v>
      </c>
      <c r="F754" s="0" t="n">
        <v>0.0535</v>
      </c>
      <c r="G754" s="12" t="n">
        <f aca="false">(A754+(C754*D754*COS(RADIANS(E754))^2-F754*C754*D754)*TAN(RADIANS(B754)))/(C754*D754*SIN(RADIANS(E754))*COS(RADIANS(E754)))</f>
        <v>1.29981221764292</v>
      </c>
    </row>
    <row r="755" customFormat="false" ht="15" hidden="false" customHeight="false" outlineLevel="0" collapsed="false">
      <c r="A755" s="0" t="n">
        <v>10.439</v>
      </c>
      <c r="B755" s="0" t="n">
        <v>38.961</v>
      </c>
      <c r="C755" s="0" t="n">
        <v>21.08</v>
      </c>
      <c r="D755" s="0" t="n">
        <v>14.78</v>
      </c>
      <c r="E755" s="0" t="n">
        <v>22.855</v>
      </c>
      <c r="F755" s="0" t="n">
        <v>0.1147</v>
      </c>
      <c r="G755" s="12" t="n">
        <f aca="false">(A755+(C755*D755*COS(RADIANS(E755))^2-F755*C755*D755)*TAN(RADIANS(B755)))/(C755*D755*SIN(RADIANS(E755))*COS(RADIANS(E755)))</f>
        <v>1.75302376514076</v>
      </c>
    </row>
    <row r="756" customFormat="false" ht="15" hidden="false" customHeight="false" outlineLevel="0" collapsed="false">
      <c r="A756" s="0" t="n">
        <v>10.522</v>
      </c>
      <c r="B756" s="0" t="n">
        <v>40.771</v>
      </c>
      <c r="C756" s="0" t="n">
        <v>21.093</v>
      </c>
      <c r="D756" s="0" t="n">
        <v>14.038</v>
      </c>
      <c r="E756" s="0" t="n">
        <v>24.671</v>
      </c>
      <c r="F756" s="0" t="n">
        <v>0.1318</v>
      </c>
      <c r="G756" s="12" t="n">
        <f aca="false">(A756+(C756*D756*COS(RADIANS(E756))^2-F756*C756*D756)*TAN(RADIANS(B756)))/(C756*D756*SIN(RADIANS(E756))*COS(RADIANS(E756)))</f>
        <v>1.67132068745446</v>
      </c>
    </row>
    <row r="757" customFormat="false" ht="15" hidden="false" customHeight="false" outlineLevel="0" collapsed="false">
      <c r="A757" s="0" t="n">
        <v>16.791</v>
      </c>
      <c r="B757" s="0" t="n">
        <v>38.458</v>
      </c>
      <c r="C757" s="0" t="n">
        <v>19.377</v>
      </c>
      <c r="D757" s="0" t="n">
        <v>8.959</v>
      </c>
      <c r="E757" s="0" t="n">
        <v>27.639</v>
      </c>
      <c r="F757" s="0" t="n">
        <v>0.2859</v>
      </c>
      <c r="G757" s="12" t="n">
        <f aca="false">(A757+(C757*D757*COS(RADIANS(E757))^2-F757*C757*D757)*TAN(RADIANS(B757)))/(C757*D757*SIN(RADIANS(E757))*COS(RADIANS(E757)))</f>
        <v>1.19954308703925</v>
      </c>
    </row>
    <row r="758" customFormat="false" ht="15" hidden="false" customHeight="false" outlineLevel="0" collapsed="false">
      <c r="A758" s="0" t="n">
        <v>15.233</v>
      </c>
      <c r="B758" s="0" t="n">
        <v>38.381</v>
      </c>
      <c r="C758" s="0" t="n">
        <v>22.38</v>
      </c>
      <c r="D758" s="0" t="n">
        <v>21.313</v>
      </c>
      <c r="E758" s="0" t="n">
        <v>27.226</v>
      </c>
      <c r="F758" s="0" t="n">
        <v>0.2661</v>
      </c>
      <c r="G758" s="12" t="n">
        <f aca="false">(A758+(C758*D758*COS(RADIANS(E758))^2-F758*C758*D758)*TAN(RADIANS(B758)))/(C758*D758*SIN(RADIANS(E758))*COS(RADIANS(E758)))</f>
        <v>1.09986196736917</v>
      </c>
    </row>
    <row r="759" customFormat="false" ht="15" hidden="false" customHeight="false" outlineLevel="0" collapsed="false">
      <c r="A759" s="0" t="n">
        <v>17.195</v>
      </c>
      <c r="B759" s="0" t="n">
        <v>31.883</v>
      </c>
      <c r="C759" s="0" t="n">
        <v>19.857</v>
      </c>
      <c r="D759" s="0" t="n">
        <v>15.097</v>
      </c>
      <c r="E759" s="0" t="n">
        <v>26.852</v>
      </c>
      <c r="F759" s="0" t="n">
        <v>0.1463</v>
      </c>
      <c r="G759" s="12" t="n">
        <f aca="false">(A759+(C759*D759*COS(RADIANS(E759))^2-F759*C759*D759)*TAN(RADIANS(B759)))/(C759*D759*SIN(RADIANS(E759))*COS(RADIANS(E759)))</f>
        <v>1.14515568150009</v>
      </c>
    </row>
    <row r="760" customFormat="false" ht="15" hidden="false" customHeight="false" outlineLevel="0" collapsed="false">
      <c r="A760" s="0" t="n">
        <v>14.249</v>
      </c>
      <c r="B760" s="0" t="n">
        <v>34.479</v>
      </c>
      <c r="C760" s="0" t="n">
        <v>19.264</v>
      </c>
      <c r="D760" s="0" t="n">
        <v>15.013</v>
      </c>
      <c r="E760" s="0" t="n">
        <v>29.943</v>
      </c>
      <c r="F760" s="0" t="n">
        <v>0.0468</v>
      </c>
      <c r="G760" s="12" t="n">
        <f aca="false">(A760+(C760*D760*COS(RADIANS(E760))^2-F760*C760*D760)*TAN(RADIANS(B760)))/(C760*D760*SIN(RADIANS(E760))*COS(RADIANS(E760)))</f>
        <v>1.23181217308964</v>
      </c>
    </row>
    <row r="761" customFormat="false" ht="15" hidden="false" customHeight="false" outlineLevel="0" collapsed="false">
      <c r="A761" s="0" t="n">
        <v>16.113</v>
      </c>
      <c r="B761" s="0" t="n">
        <v>34.091</v>
      </c>
      <c r="C761" s="0" t="n">
        <v>19.626</v>
      </c>
      <c r="D761" s="0" t="n">
        <v>14.503</v>
      </c>
      <c r="E761" s="0" t="n">
        <v>28.595</v>
      </c>
      <c r="F761" s="0" t="n">
        <v>0.1152</v>
      </c>
      <c r="G761" s="12" t="n">
        <f aca="false">(A761+(C761*D761*COS(RADIANS(E761))^2-F761*C761*D761)*TAN(RADIANS(B761)))/(C761*D761*SIN(RADIANS(E761))*COS(RADIANS(E761)))</f>
        <v>1.19080659986398</v>
      </c>
    </row>
    <row r="762" customFormat="false" ht="15" hidden="false" customHeight="false" outlineLevel="0" collapsed="false">
      <c r="A762" s="0" t="n">
        <v>15.632</v>
      </c>
      <c r="B762" s="0" t="n">
        <v>33.985</v>
      </c>
      <c r="C762" s="0" t="n">
        <v>18.598</v>
      </c>
      <c r="D762" s="0" t="n">
        <v>13.247</v>
      </c>
      <c r="E762" s="0" t="n">
        <v>31.165</v>
      </c>
      <c r="F762" s="0" t="n">
        <v>0.0563</v>
      </c>
      <c r="G762" s="12" t="n">
        <f aca="false">(A762+(C762*D762*COS(RADIANS(E762))^2-F762*C762*D762)*TAN(RADIANS(B762)))/(C762*D762*SIN(RADIANS(E762))*COS(RADIANS(E762)))</f>
        <v>1.17223094443486</v>
      </c>
    </row>
    <row r="763" customFormat="false" ht="15" hidden="false" customHeight="false" outlineLevel="0" collapsed="false">
      <c r="A763" s="0" t="n">
        <v>18.111</v>
      </c>
      <c r="B763" s="0" t="n">
        <v>32.556</v>
      </c>
      <c r="C763" s="0" t="n">
        <v>19.011</v>
      </c>
      <c r="D763" s="0" t="n">
        <v>19.341</v>
      </c>
      <c r="E763" s="0" t="n">
        <v>24.351</v>
      </c>
      <c r="F763" s="0" t="n">
        <v>0.06</v>
      </c>
      <c r="G763" s="12" t="n">
        <f aca="false">(A763+(C763*D763*COS(RADIANS(E763))^2-F763*C763*D763)*TAN(RADIANS(B763)))/(C763*D763*SIN(RADIANS(E763))*COS(RADIANS(E763)))</f>
        <v>1.43979799906559</v>
      </c>
    </row>
    <row r="764" customFormat="false" ht="15" hidden="false" customHeight="false" outlineLevel="0" collapsed="false">
      <c r="A764" s="0" t="n">
        <v>18.228</v>
      </c>
      <c r="B764" s="0" t="n">
        <v>36.008</v>
      </c>
      <c r="C764" s="0" t="n">
        <v>18.452</v>
      </c>
      <c r="D764" s="0" t="n">
        <v>10.859</v>
      </c>
      <c r="E764" s="0" t="n">
        <v>25.404</v>
      </c>
      <c r="F764" s="0" t="n">
        <v>0.1778</v>
      </c>
      <c r="G764" s="12" t="n">
        <f aca="false">(A764+(C764*D764*COS(RADIANS(E764))^2-F764*C764*D764)*TAN(RADIANS(B764)))/(C764*D764*SIN(RADIANS(E764))*COS(RADIANS(E764)))</f>
        <v>1.43157440848515</v>
      </c>
    </row>
    <row r="765" customFormat="false" ht="15" hidden="false" customHeight="false" outlineLevel="0" collapsed="false">
      <c r="A765" s="0" t="n">
        <v>8.521</v>
      </c>
      <c r="B765" s="0" t="n">
        <v>36.043</v>
      </c>
      <c r="C765" s="0" t="n">
        <v>21.045</v>
      </c>
      <c r="D765" s="0" t="n">
        <v>14.924</v>
      </c>
      <c r="E765" s="0" t="n">
        <v>26.73</v>
      </c>
      <c r="F765" s="0" t="n">
        <v>0.1045</v>
      </c>
      <c r="G765" s="12" t="n">
        <f aca="false">(A765+(C765*D765*COS(RADIANS(E765))^2-F765*C765*D765)*TAN(RADIANS(B765)))/(C765*D765*SIN(RADIANS(E765))*COS(RADIANS(E765)))</f>
        <v>1.32320565959158</v>
      </c>
    </row>
    <row r="766" customFormat="false" ht="15" hidden="false" customHeight="false" outlineLevel="0" collapsed="false">
      <c r="A766" s="0" t="n">
        <v>6.011</v>
      </c>
      <c r="B766" s="0" t="n">
        <v>32.242</v>
      </c>
      <c r="C766" s="0" t="n">
        <v>19.977</v>
      </c>
      <c r="D766" s="0" t="n">
        <v>17.339</v>
      </c>
      <c r="E766" s="0" t="n">
        <v>27.588</v>
      </c>
      <c r="F766" s="0" t="n">
        <v>0.0896</v>
      </c>
      <c r="G766" s="12" t="n">
        <f aca="false">(A766+(C766*D766*COS(RADIANS(E766))^2-F766*C766*D766)*TAN(RADIANS(B766)))/(C766*D766*SIN(RADIANS(E766))*COS(RADIANS(E766)))</f>
        <v>1.11173249867014</v>
      </c>
    </row>
    <row r="767" customFormat="false" ht="15" hidden="false" customHeight="false" outlineLevel="0" collapsed="false">
      <c r="A767" s="0" t="n">
        <v>19.007</v>
      </c>
      <c r="B767" s="0" t="n">
        <v>32.763</v>
      </c>
      <c r="C767" s="0" t="n">
        <v>19.845</v>
      </c>
      <c r="D767" s="0" t="n">
        <v>19.389</v>
      </c>
      <c r="E767" s="0" t="n">
        <v>28.107</v>
      </c>
      <c r="F767" s="0" t="n">
        <v>0</v>
      </c>
      <c r="G767" s="12" t="n">
        <f aca="false">(A767+(C767*D767*COS(RADIANS(E767))^2-F767*C767*D767)*TAN(RADIANS(B767)))/(C767*D767*SIN(RADIANS(E767))*COS(RADIANS(E767)))</f>
        <v>1.32376378688795</v>
      </c>
    </row>
    <row r="768" customFormat="false" ht="15" hidden="false" customHeight="false" outlineLevel="0" collapsed="false">
      <c r="A768" s="0" t="n">
        <v>19.751</v>
      </c>
      <c r="B768" s="0" t="n">
        <v>35.58</v>
      </c>
      <c r="C768" s="0" t="n">
        <v>18.782</v>
      </c>
      <c r="D768" s="0" t="n">
        <v>16.268</v>
      </c>
      <c r="E768" s="0" t="n">
        <v>24.721</v>
      </c>
      <c r="F768" s="0" t="n">
        <v>0.0628</v>
      </c>
      <c r="G768" s="12" t="n">
        <f aca="false">(A768+(C768*D768*COS(RADIANS(E768))^2-F768*C768*D768)*TAN(RADIANS(B768)))/(C768*D768*SIN(RADIANS(E768))*COS(RADIANS(E768)))</f>
        <v>1.60579217441304</v>
      </c>
    </row>
    <row r="769" customFormat="false" ht="15" hidden="false" customHeight="false" outlineLevel="0" collapsed="false">
      <c r="A769" s="0" t="n">
        <v>10.918</v>
      </c>
      <c r="B769" s="0" t="n">
        <v>34.888</v>
      </c>
      <c r="C769" s="0" t="n">
        <v>19.462</v>
      </c>
      <c r="D769" s="0" t="n">
        <v>13.717</v>
      </c>
      <c r="E769" s="0" t="n">
        <v>28.568</v>
      </c>
      <c r="F769" s="0" t="n">
        <v>0.1435</v>
      </c>
      <c r="G769" s="12" t="n">
        <f aca="false">(A769+(C769*D769*COS(RADIANS(E769))^2-F769*C769*D769)*TAN(RADIANS(B769)))/(C769*D769*SIN(RADIANS(E769))*COS(RADIANS(E769)))</f>
        <v>1.13976171888426</v>
      </c>
    </row>
    <row r="770" customFormat="false" ht="15" hidden="false" customHeight="false" outlineLevel="0" collapsed="false">
      <c r="A770" s="0" t="n">
        <v>7.561</v>
      </c>
      <c r="B770" s="0" t="n">
        <v>33.177</v>
      </c>
      <c r="C770" s="0" t="n">
        <v>18.427</v>
      </c>
      <c r="D770" s="0" t="n">
        <v>17.568</v>
      </c>
      <c r="E770" s="0" t="n">
        <v>30.195</v>
      </c>
      <c r="F770" s="0" t="n">
        <v>0.1853</v>
      </c>
      <c r="G770" s="12" t="n">
        <f aca="false">(A770+(C770*D770*COS(RADIANS(E770))^2-F770*C770*D770)*TAN(RADIANS(B770)))/(C770*D770*SIN(RADIANS(E770))*COS(RADIANS(E770)))</f>
        <v>0.89861312558207</v>
      </c>
    </row>
    <row r="771" customFormat="false" ht="15" hidden="false" customHeight="false" outlineLevel="0" collapsed="false">
      <c r="A771" s="0" t="n">
        <v>15.396</v>
      </c>
      <c r="B771" s="0" t="n">
        <v>34.376</v>
      </c>
      <c r="C771" s="0" t="n">
        <v>19.097</v>
      </c>
      <c r="D771" s="0" t="n">
        <v>15.351</v>
      </c>
      <c r="E771" s="0" t="n">
        <v>30.554</v>
      </c>
      <c r="F771" s="0" t="n">
        <v>0.1438</v>
      </c>
      <c r="G771" s="12" t="n">
        <f aca="false">(A771+(C771*D771*COS(RADIANS(E771))^2-F771*C771*D771)*TAN(RADIANS(B771)))/(C771*D771*SIN(RADIANS(E771))*COS(RADIANS(E771)))</f>
        <v>1.05412164858848</v>
      </c>
    </row>
    <row r="772" customFormat="false" ht="15" hidden="false" customHeight="false" outlineLevel="0" collapsed="false">
      <c r="A772" s="0" t="n">
        <v>18.723</v>
      </c>
      <c r="B772" s="0" t="n">
        <v>31.047</v>
      </c>
      <c r="C772" s="0" t="n">
        <v>19.194</v>
      </c>
      <c r="D772" s="0" t="n">
        <v>13.167</v>
      </c>
      <c r="E772" s="0" t="n">
        <v>23.828</v>
      </c>
      <c r="F772" s="0" t="n">
        <v>0.0052</v>
      </c>
      <c r="G772" s="12" t="n">
        <f aca="false">(A772+(C772*D772*COS(RADIANS(E772))^2-F772*C772*D772)*TAN(RADIANS(B772)))/(C772*D772*SIN(RADIANS(E772))*COS(RADIANS(E772)))</f>
        <v>1.55505758902729</v>
      </c>
    </row>
    <row r="773" customFormat="false" ht="15" hidden="false" customHeight="false" outlineLevel="0" collapsed="false">
      <c r="A773" s="0" t="n">
        <v>22.19</v>
      </c>
      <c r="B773" s="0" t="n">
        <v>36.985</v>
      </c>
      <c r="C773" s="0" t="n">
        <v>20.946</v>
      </c>
      <c r="D773" s="0" t="n">
        <v>16.615</v>
      </c>
      <c r="E773" s="0" t="n">
        <v>28.761</v>
      </c>
      <c r="F773" s="0" t="n">
        <v>0.132</v>
      </c>
      <c r="G773" s="12" t="n">
        <f aca="false">(A773+(C773*D773*COS(RADIANS(E773))^2-F773*C773*D773)*TAN(RADIANS(B773)))/(C773*D773*SIN(RADIANS(E773))*COS(RADIANS(E773)))</f>
        <v>1.28764675462991</v>
      </c>
    </row>
    <row r="774" customFormat="false" ht="15" hidden="false" customHeight="false" outlineLevel="0" collapsed="false">
      <c r="A774" s="0" t="n">
        <v>17.065</v>
      </c>
      <c r="B774" s="0" t="n">
        <v>33.801</v>
      </c>
      <c r="C774" s="0" t="n">
        <v>19.452</v>
      </c>
      <c r="D774" s="0" t="n">
        <v>16.964</v>
      </c>
      <c r="E774" s="0" t="n">
        <v>26.695</v>
      </c>
      <c r="F774" s="0" t="n">
        <v>0.2335</v>
      </c>
      <c r="G774" s="12" t="n">
        <f aca="false">(A774+(C774*D774*COS(RADIANS(E774))^2-F774*C774*D774)*TAN(RADIANS(B774)))/(C774*D774*SIN(RADIANS(E774))*COS(RADIANS(E774)))</f>
        <v>1.07074560520266</v>
      </c>
    </row>
    <row r="775" customFormat="false" ht="15" hidden="false" customHeight="false" outlineLevel="0" collapsed="false">
      <c r="A775" s="0" t="n">
        <v>13.513</v>
      </c>
      <c r="B775" s="0" t="n">
        <v>33.698</v>
      </c>
      <c r="C775" s="0" t="n">
        <v>21.31</v>
      </c>
      <c r="D775" s="0" t="n">
        <v>13.119</v>
      </c>
      <c r="E775" s="0" t="n">
        <v>26.089</v>
      </c>
      <c r="F775" s="0" t="n">
        <v>0.0664</v>
      </c>
      <c r="G775" s="12" t="n">
        <f aca="false">(A775+(C775*D775*COS(RADIANS(E775))^2-F775*C775*D775)*TAN(RADIANS(B775)))/(C775*D775*SIN(RADIANS(E775))*COS(RADIANS(E775)))</f>
        <v>1.37217463358796</v>
      </c>
    </row>
    <row r="776" customFormat="false" ht="15" hidden="false" customHeight="false" outlineLevel="0" collapsed="false">
      <c r="A776" s="0" t="n">
        <v>11.427</v>
      </c>
      <c r="B776" s="0" t="n">
        <v>36.423</v>
      </c>
      <c r="C776" s="0" t="n">
        <v>18.73</v>
      </c>
      <c r="D776" s="0" t="n">
        <v>11.357</v>
      </c>
      <c r="E776" s="0" t="n">
        <v>30.696</v>
      </c>
      <c r="F776" s="0" t="n">
        <v>0.1898</v>
      </c>
      <c r="G776" s="12" t="n">
        <f aca="false">(A776+(C776*D776*COS(RADIANS(E776))^2-F776*C776*D776)*TAN(RADIANS(B776)))/(C776*D776*SIN(RADIANS(E776))*COS(RADIANS(E776)))</f>
        <v>1.04626258730774</v>
      </c>
    </row>
    <row r="777" customFormat="false" ht="15" hidden="false" customHeight="false" outlineLevel="0" collapsed="false">
      <c r="A777" s="0" t="n">
        <v>15.046</v>
      </c>
      <c r="B777" s="0" t="n">
        <v>38.134</v>
      </c>
      <c r="C777" s="0" t="n">
        <v>19.294</v>
      </c>
      <c r="D777" s="0" t="n">
        <v>12.058</v>
      </c>
      <c r="E777" s="0" t="n">
        <v>26.181</v>
      </c>
      <c r="F777" s="0" t="n">
        <v>0.0101</v>
      </c>
      <c r="G777" s="12" t="n">
        <f aca="false">(A777+(C777*D777*COS(RADIANS(E777))^2-F777*C777*D777)*TAN(RADIANS(B777)))/(C777*D777*SIN(RADIANS(E777))*COS(RADIANS(E777)))</f>
        <v>1.74010043214747</v>
      </c>
    </row>
    <row r="778" customFormat="false" ht="15" hidden="false" customHeight="false" outlineLevel="0" collapsed="false">
      <c r="A778" s="0" t="n">
        <v>13.803</v>
      </c>
      <c r="B778" s="0" t="n">
        <v>35.005</v>
      </c>
      <c r="C778" s="0" t="n">
        <v>20.375</v>
      </c>
      <c r="D778" s="0" t="n">
        <v>11.936</v>
      </c>
      <c r="E778" s="0" t="n">
        <v>30.611</v>
      </c>
      <c r="F778" s="0" t="n">
        <v>0.1092</v>
      </c>
      <c r="G778" s="12" t="n">
        <f aca="false">(A778+(C778*D778*COS(RADIANS(E778))^2-F778*C778*D778)*TAN(RADIANS(B778)))/(C778*D778*SIN(RADIANS(E778))*COS(RADIANS(E778)))</f>
        <v>1.13868951013797</v>
      </c>
    </row>
    <row r="779" customFormat="false" ht="15" hidden="false" customHeight="false" outlineLevel="0" collapsed="false">
      <c r="A779" s="0" t="n">
        <v>10.94</v>
      </c>
      <c r="B779" s="0" t="n">
        <v>33.116</v>
      </c>
      <c r="C779" s="0" t="n">
        <v>19.841</v>
      </c>
      <c r="D779" s="0" t="n">
        <v>8.923</v>
      </c>
      <c r="E779" s="0" t="n">
        <v>29.691</v>
      </c>
      <c r="F779" s="0" t="n">
        <v>0.325</v>
      </c>
      <c r="G779" s="12" t="n">
        <f aca="false">(A779+(C779*D779*COS(RADIANS(E779))^2-F779*C779*D779)*TAN(RADIANS(B779)))/(C779*D779*SIN(RADIANS(E779))*COS(RADIANS(E779)))</f>
        <v>0.794935624858187</v>
      </c>
    </row>
    <row r="780" customFormat="false" ht="15" hidden="false" customHeight="false" outlineLevel="0" collapsed="false">
      <c r="A780" s="0" t="n">
        <v>23.195</v>
      </c>
      <c r="B780" s="0" t="n">
        <v>36.197</v>
      </c>
      <c r="C780" s="0" t="n">
        <v>19.672</v>
      </c>
      <c r="D780" s="0" t="n">
        <v>11.256</v>
      </c>
      <c r="E780" s="0" t="n">
        <v>27.239</v>
      </c>
      <c r="F780" s="0" t="n">
        <v>0.1649</v>
      </c>
      <c r="G780" s="12" t="n">
        <f aca="false">(A780+(C780*D780*COS(RADIANS(E780))^2-F780*C780*D780)*TAN(RADIANS(B780)))/(C780*D780*SIN(RADIANS(E780))*COS(RADIANS(E780)))</f>
        <v>1.38243622630853</v>
      </c>
    </row>
    <row r="781" customFormat="false" ht="15" hidden="false" customHeight="false" outlineLevel="0" collapsed="false">
      <c r="A781" s="0" t="n">
        <v>22.141</v>
      </c>
      <c r="B781" s="0" t="n">
        <v>35.173</v>
      </c>
      <c r="C781" s="0" t="n">
        <v>20.171</v>
      </c>
      <c r="D781" s="0" t="n">
        <v>18.645</v>
      </c>
      <c r="E781" s="0" t="n">
        <v>30.091</v>
      </c>
      <c r="F781" s="0" t="n">
        <v>0.1877</v>
      </c>
      <c r="G781" s="12" t="n">
        <f aca="false">(A781+(C781*D781*COS(RADIANS(E781))^2-F781*C781*D781)*TAN(RADIANS(B781)))/(C781*D781*SIN(RADIANS(E781))*COS(RADIANS(E781)))</f>
        <v>1.04693191943828</v>
      </c>
    </row>
    <row r="782" customFormat="false" ht="15" hidden="false" customHeight="false" outlineLevel="0" collapsed="false">
      <c r="A782" s="0" t="n">
        <v>19.544</v>
      </c>
      <c r="B782" s="0" t="n">
        <v>35.935</v>
      </c>
      <c r="C782" s="0" t="n">
        <v>19.651</v>
      </c>
      <c r="D782" s="0" t="n">
        <v>13.012</v>
      </c>
      <c r="E782" s="0" t="n">
        <v>27.773</v>
      </c>
      <c r="F782" s="0" t="n">
        <v>0.1609</v>
      </c>
      <c r="G782" s="12" t="n">
        <f aca="false">(A782+(C782*D782*COS(RADIANS(E782))^2-F782*C782*D782)*TAN(RADIANS(B782)))/(C782*D782*SIN(RADIANS(E782))*COS(RADIANS(E782)))</f>
        <v>1.27882152377793</v>
      </c>
    </row>
    <row r="783" customFormat="false" ht="15" hidden="false" customHeight="false" outlineLevel="0" collapsed="false">
      <c r="A783" s="0" t="n">
        <v>11.317</v>
      </c>
      <c r="B783" s="0" t="n">
        <v>37.425</v>
      </c>
      <c r="C783" s="0" t="n">
        <v>17.963</v>
      </c>
      <c r="D783" s="0" t="n">
        <v>14.98</v>
      </c>
      <c r="E783" s="0" t="n">
        <v>31.831</v>
      </c>
      <c r="F783" s="0" t="n">
        <v>0.1562</v>
      </c>
      <c r="G783" s="12" t="n">
        <f aca="false">(A783+(C783*D783*COS(RADIANS(E783))^2-F783*C783*D783)*TAN(RADIANS(B783)))/(C783*D783*SIN(RADIANS(E783))*COS(RADIANS(E783)))</f>
        <v>1.05983357442061</v>
      </c>
    </row>
    <row r="784" customFormat="false" ht="15" hidden="false" customHeight="false" outlineLevel="0" collapsed="false">
      <c r="A784" s="0" t="n">
        <v>18.42</v>
      </c>
      <c r="B784" s="0" t="n">
        <v>34.469</v>
      </c>
      <c r="C784" s="0" t="n">
        <v>17.913</v>
      </c>
      <c r="D784" s="0" t="n">
        <v>15.213</v>
      </c>
      <c r="E784" s="0" t="n">
        <v>29.155</v>
      </c>
      <c r="F784" s="0" t="n">
        <v>0.2025</v>
      </c>
      <c r="G784" s="12" t="n">
        <f aca="false">(A784+(C784*D784*COS(RADIANS(E784))^2-F784*C784*D784)*TAN(RADIANS(B784)))/(C784*D784*SIN(RADIANS(E784))*COS(RADIANS(E784)))</f>
        <v>1.06272077630979</v>
      </c>
    </row>
    <row r="785" customFormat="false" ht="15" hidden="false" customHeight="false" outlineLevel="0" collapsed="false">
      <c r="A785" s="0" t="n">
        <v>17.559</v>
      </c>
      <c r="B785" s="0" t="n">
        <v>38.064</v>
      </c>
      <c r="C785" s="0" t="n">
        <v>22.079</v>
      </c>
      <c r="D785" s="0" t="n">
        <v>13.035</v>
      </c>
      <c r="E785" s="0" t="n">
        <v>26.96</v>
      </c>
      <c r="F785" s="0" t="n">
        <v>0.152</v>
      </c>
      <c r="G785" s="12" t="n">
        <f aca="false">(A785+(C785*D785*COS(RADIANS(E785))^2-F785*C785*D785)*TAN(RADIANS(B785)))/(C785*D785*SIN(RADIANS(E785))*COS(RADIANS(E785)))</f>
        <v>1.39597506917839</v>
      </c>
    </row>
    <row r="786" customFormat="false" ht="15" hidden="false" customHeight="false" outlineLevel="0" collapsed="false">
      <c r="A786" s="0" t="n">
        <v>16.77</v>
      </c>
      <c r="B786" s="0" t="n">
        <v>33.264</v>
      </c>
      <c r="C786" s="0" t="n">
        <v>21.447</v>
      </c>
      <c r="D786" s="0" t="n">
        <v>17.044</v>
      </c>
      <c r="E786" s="0" t="n">
        <v>30.95</v>
      </c>
      <c r="F786" s="0" t="n">
        <v>0.2165</v>
      </c>
      <c r="G786" s="12" t="n">
        <f aca="false">(A786+(C786*D786*COS(RADIANS(E786))^2-F786*C786*D786)*TAN(RADIANS(B786)))/(C786*D786*SIN(RADIANS(E786))*COS(RADIANS(E786)))</f>
        <v>0.875913830010344</v>
      </c>
    </row>
    <row r="787" customFormat="false" ht="15" hidden="false" customHeight="false" outlineLevel="0" collapsed="false">
      <c r="A787" s="0" t="n">
        <v>19.999</v>
      </c>
      <c r="B787" s="0" t="n">
        <v>32.941</v>
      </c>
      <c r="C787" s="0" t="n">
        <v>20.801</v>
      </c>
      <c r="D787" s="0" t="n">
        <v>15.972</v>
      </c>
      <c r="E787" s="0" t="n">
        <v>25.8</v>
      </c>
      <c r="F787" s="0" t="n">
        <v>0.2338</v>
      </c>
      <c r="G787" s="12" t="n">
        <f aca="false">(A787+(C787*D787*COS(RADIANS(E787))^2-F787*C787*D787)*TAN(RADIANS(B787)))/(C787*D787*SIN(RADIANS(E787))*COS(RADIANS(E787)))</f>
        <v>1.1073541535438</v>
      </c>
    </row>
    <row r="788" customFormat="false" ht="15" hidden="false" customHeight="false" outlineLevel="0" collapsed="false">
      <c r="A788" s="0" t="n">
        <v>17.541</v>
      </c>
      <c r="B788" s="0" t="n">
        <v>37.686</v>
      </c>
      <c r="C788" s="0" t="n">
        <v>20.354</v>
      </c>
      <c r="D788" s="0" t="n">
        <v>13.299</v>
      </c>
      <c r="E788" s="0" t="n">
        <v>28.718</v>
      </c>
      <c r="F788" s="0" t="n">
        <v>0.2274</v>
      </c>
      <c r="G788" s="12" t="n">
        <f aca="false">(A788+(C788*D788*COS(RADIANS(E788))^2-F788*C788*D788)*TAN(RADIANS(B788)))/(C788*D788*SIN(RADIANS(E788))*COS(RADIANS(E788)))</f>
        <v>1.14685525247382</v>
      </c>
    </row>
    <row r="789" customFormat="false" ht="15" hidden="false" customHeight="false" outlineLevel="0" collapsed="false">
      <c r="A789" s="0" t="n">
        <v>17.96</v>
      </c>
      <c r="B789" s="0" t="n">
        <v>36.323</v>
      </c>
      <c r="C789" s="0" t="n">
        <v>19.997</v>
      </c>
      <c r="D789" s="0" t="n">
        <v>19.265</v>
      </c>
      <c r="E789" s="0" t="n">
        <v>27.734</v>
      </c>
      <c r="F789" s="0" t="n">
        <v>0.0773</v>
      </c>
      <c r="G789" s="12" t="n">
        <f aca="false">(A789+(C789*D789*COS(RADIANS(E789))^2-F789*C789*D789)*TAN(RADIANS(B789)))/(C789*D789*SIN(RADIANS(E789))*COS(RADIANS(E789)))</f>
        <v>1.37352829150005</v>
      </c>
    </row>
    <row r="790" customFormat="false" ht="15" hidden="false" customHeight="false" outlineLevel="0" collapsed="false">
      <c r="A790" s="0" t="n">
        <v>17.548</v>
      </c>
      <c r="B790" s="0" t="n">
        <v>34.522</v>
      </c>
      <c r="C790" s="0" t="n">
        <v>20.589</v>
      </c>
      <c r="D790" s="0" t="n">
        <v>14.54</v>
      </c>
      <c r="E790" s="0" t="n">
        <v>29.843</v>
      </c>
      <c r="F790" s="0" t="n">
        <v>0.1887</v>
      </c>
      <c r="G790" s="12" t="n">
        <f aca="false">(A790+(C790*D790*COS(RADIANS(E790))^2-F790*C790*D790)*TAN(RADIANS(B790)))/(C790*D790*SIN(RADIANS(E790))*COS(RADIANS(E790)))</f>
        <v>1.03405504559787</v>
      </c>
    </row>
    <row r="791" customFormat="false" ht="15" hidden="false" customHeight="false" outlineLevel="0" collapsed="false">
      <c r="A791" s="0" t="n">
        <v>16.363</v>
      </c>
      <c r="B791" s="0" t="n">
        <v>34.952</v>
      </c>
      <c r="C791" s="0" t="n">
        <v>19.287</v>
      </c>
      <c r="D791" s="0" t="n">
        <v>11.62</v>
      </c>
      <c r="E791" s="0" t="n">
        <v>26.825</v>
      </c>
      <c r="F791" s="0" t="n">
        <v>0.1049</v>
      </c>
      <c r="G791" s="12" t="n">
        <f aca="false">(A791+(C791*D791*COS(RADIANS(E791))^2-F791*C791*D791)*TAN(RADIANS(B791)))/(C791*D791*SIN(RADIANS(E791))*COS(RADIANS(E791)))</f>
        <v>1.38143833782049</v>
      </c>
    </row>
    <row r="792" customFormat="false" ht="15" hidden="false" customHeight="false" outlineLevel="0" collapsed="false">
      <c r="A792" s="0" t="n">
        <v>7.866</v>
      </c>
      <c r="B792" s="0" t="n">
        <v>34.104</v>
      </c>
      <c r="C792" s="0" t="n">
        <v>19.682</v>
      </c>
      <c r="D792" s="0" t="n">
        <v>21.546</v>
      </c>
      <c r="E792" s="0" t="n">
        <v>30.745</v>
      </c>
      <c r="F792" s="0" t="n">
        <v>0.0491</v>
      </c>
      <c r="G792" s="12" t="n">
        <f aca="false">(A792+(C792*D792*COS(RADIANS(E792))^2-F792*C792*D792)*TAN(RADIANS(B792)))/(C792*D792*SIN(RADIANS(E792))*COS(RADIANS(E792)))</f>
        <v>1.10496182529937</v>
      </c>
    </row>
    <row r="793" customFormat="false" ht="15" hidden="false" customHeight="false" outlineLevel="0" collapsed="false">
      <c r="A793" s="0" t="n">
        <v>15.334</v>
      </c>
      <c r="B793" s="0" t="n">
        <v>34.397</v>
      </c>
      <c r="C793" s="0" t="n">
        <v>21</v>
      </c>
      <c r="D793" s="0" t="n">
        <v>18.109</v>
      </c>
      <c r="E793" s="0" t="n">
        <v>27.832</v>
      </c>
      <c r="F793" s="0" t="n">
        <v>0.0209</v>
      </c>
      <c r="G793" s="12" t="n">
        <f aca="false">(A793+(C793*D793*COS(RADIANS(E793))^2-F793*C793*D793)*TAN(RADIANS(B793)))/(C793*D793*SIN(RADIANS(E793))*COS(RADIANS(E793)))</f>
        <v>1.35977940243496</v>
      </c>
    </row>
    <row r="794" customFormat="false" ht="15" hidden="false" customHeight="false" outlineLevel="0" collapsed="false">
      <c r="A794" s="0" t="n">
        <v>12.775</v>
      </c>
      <c r="B794" s="0" t="n">
        <v>31.303</v>
      </c>
      <c r="C794" s="0" t="n">
        <v>20.898</v>
      </c>
      <c r="D794" s="0" t="n">
        <v>13.945</v>
      </c>
      <c r="E794" s="0" t="n">
        <v>27.049</v>
      </c>
      <c r="F794" s="0" t="n">
        <v>0.2798</v>
      </c>
      <c r="G794" s="12" t="n">
        <f aca="false">(A794+(C794*D794*COS(RADIANS(E794))^2-F794*C794*D794)*TAN(RADIANS(B794)))/(C794*D794*SIN(RADIANS(E794))*COS(RADIANS(E794)))</f>
        <v>0.879053038780752</v>
      </c>
    </row>
    <row r="795" customFormat="false" ht="15" hidden="false" customHeight="false" outlineLevel="0" collapsed="false">
      <c r="A795" s="0" t="n">
        <v>9.881</v>
      </c>
      <c r="B795" s="0" t="n">
        <v>32.676</v>
      </c>
      <c r="C795" s="0" t="n">
        <v>20.126</v>
      </c>
      <c r="D795" s="0" t="n">
        <v>19.623</v>
      </c>
      <c r="E795" s="0" t="n">
        <v>27.089</v>
      </c>
      <c r="F795" s="0" t="n">
        <v>0.1731</v>
      </c>
      <c r="G795" s="12" t="n">
        <f aca="false">(A795+(C795*D795*COS(RADIANS(E795))^2-F795*C795*D795)*TAN(RADIANS(B795)))/(C795*D795*SIN(RADIANS(E795))*COS(RADIANS(E795)))</f>
        <v>1.04185200002676</v>
      </c>
    </row>
    <row r="796" customFormat="false" ht="15" hidden="false" customHeight="false" outlineLevel="0" collapsed="false">
      <c r="A796" s="0" t="n">
        <v>21.727</v>
      </c>
      <c r="B796" s="0" t="n">
        <v>34.537</v>
      </c>
      <c r="C796" s="0" t="n">
        <v>19.548</v>
      </c>
      <c r="D796" s="0" t="n">
        <v>11.852</v>
      </c>
      <c r="E796" s="0" t="n">
        <v>27.758</v>
      </c>
      <c r="F796" s="0" t="n">
        <v>0.1777</v>
      </c>
      <c r="G796" s="12" t="n">
        <f aca="false">(A796+(C796*D796*COS(RADIANS(E796))^2-F796*C796*D796)*TAN(RADIANS(B796)))/(C796*D796*SIN(RADIANS(E796))*COS(RADIANS(E796)))</f>
        <v>1.23847210955366</v>
      </c>
    </row>
    <row r="797" customFormat="false" ht="15" hidden="false" customHeight="false" outlineLevel="0" collapsed="false">
      <c r="A797" s="0" t="n">
        <v>21.916</v>
      </c>
      <c r="B797" s="0" t="n">
        <v>30.294</v>
      </c>
      <c r="C797" s="0" t="n">
        <v>21.243</v>
      </c>
      <c r="D797" s="0" t="n">
        <v>7.477</v>
      </c>
      <c r="E797" s="0" t="n">
        <v>25.927</v>
      </c>
      <c r="F797" s="0" t="n">
        <v>0.2051</v>
      </c>
      <c r="G797" s="12" t="n">
        <f aca="false">(A797+(C797*D797*COS(RADIANS(E797))^2-F797*C797*D797)*TAN(RADIANS(B797)))/(C797*D797*SIN(RADIANS(E797))*COS(RADIANS(E797)))</f>
        <v>1.24787574449016</v>
      </c>
    </row>
    <row r="798" customFormat="false" ht="15" hidden="false" customHeight="false" outlineLevel="0" collapsed="false">
      <c r="A798" s="0" t="n">
        <v>20.437</v>
      </c>
      <c r="B798" s="0" t="n">
        <v>28.523</v>
      </c>
      <c r="C798" s="0" t="n">
        <v>19.295</v>
      </c>
      <c r="D798" s="0" t="n">
        <v>9.45</v>
      </c>
      <c r="E798" s="0" t="n">
        <v>28.769</v>
      </c>
      <c r="F798" s="0" t="n">
        <v>0.2011</v>
      </c>
      <c r="G798" s="12" t="n">
        <f aca="false">(A798+(C798*D798*COS(RADIANS(E798))^2-F798*C798*D798)*TAN(RADIANS(B798)))/(C798*D798*SIN(RADIANS(E798))*COS(RADIANS(E798)))</f>
        <v>0.99646062525442</v>
      </c>
    </row>
    <row r="799" customFormat="false" ht="15" hidden="false" customHeight="false" outlineLevel="0" collapsed="false">
      <c r="A799" s="0" t="n">
        <v>16.021</v>
      </c>
      <c r="B799" s="0" t="n">
        <v>30.158</v>
      </c>
      <c r="C799" s="0" t="n">
        <v>20.343</v>
      </c>
      <c r="D799" s="0" t="n">
        <v>15.723</v>
      </c>
      <c r="E799" s="0" t="n">
        <v>25.237</v>
      </c>
      <c r="F799" s="0" t="n">
        <v>0.2368</v>
      </c>
      <c r="G799" s="12" t="n">
        <f aca="false">(A799+(C799*D799*COS(RADIANS(E799))^2-F799*C799*D799)*TAN(RADIANS(B799)))/(C799*D799*SIN(RADIANS(E799))*COS(RADIANS(E799)))</f>
        <v>1.00581198814717</v>
      </c>
    </row>
    <row r="800" customFormat="false" ht="15" hidden="false" customHeight="false" outlineLevel="0" collapsed="false">
      <c r="A800" s="0" t="n">
        <v>20.403</v>
      </c>
      <c r="B800" s="0" t="n">
        <v>38.53</v>
      </c>
      <c r="C800" s="0" t="n">
        <v>21.965</v>
      </c>
      <c r="D800" s="0" t="n">
        <v>13.888</v>
      </c>
      <c r="E800" s="0" t="n">
        <v>24.441</v>
      </c>
      <c r="F800" s="0" t="n">
        <v>0.1918</v>
      </c>
      <c r="G800" s="12" t="n">
        <f aca="false">(A800+(C800*D800*COS(RADIANS(E800))^2-F800*C800*D800)*TAN(RADIANS(B800)))/(C800*D800*SIN(RADIANS(E800))*COS(RADIANS(E800)))</f>
        <v>1.52418173601363</v>
      </c>
    </row>
    <row r="801" customFormat="false" ht="15" hidden="false" customHeight="false" outlineLevel="0" collapsed="false">
      <c r="A801" s="0" t="n">
        <v>15.048</v>
      </c>
      <c r="B801" s="0" t="n">
        <v>40.751</v>
      </c>
      <c r="C801" s="0" t="n">
        <v>20.393</v>
      </c>
      <c r="D801" s="0" t="n">
        <v>15.71</v>
      </c>
      <c r="E801" s="0" t="n">
        <v>29.974</v>
      </c>
      <c r="F801" s="0" t="n">
        <v>0.1234</v>
      </c>
      <c r="G801" s="12" t="n">
        <f aca="false">(A801+(C801*D801*COS(RADIANS(E801))^2-F801*C801*D801)*TAN(RADIANS(B801)))/(C801*D801*SIN(RADIANS(E801))*COS(RADIANS(E801)))</f>
        <v>1.35688609054482</v>
      </c>
    </row>
    <row r="802" customFormat="false" ht="15" hidden="false" customHeight="false" outlineLevel="0" collapsed="false">
      <c r="A802" s="0" t="n">
        <v>15.811</v>
      </c>
      <c r="B802" s="0" t="n">
        <v>35.831</v>
      </c>
      <c r="C802" s="0" t="n">
        <v>19.999</v>
      </c>
      <c r="D802" s="0" t="n">
        <v>16.646</v>
      </c>
      <c r="E802" s="0" t="n">
        <v>29.684</v>
      </c>
      <c r="F802" s="0" t="n">
        <v>0.06</v>
      </c>
      <c r="G802" s="12" t="n">
        <f aca="false">(A802+(C802*D802*COS(RADIANS(E802))^2-F802*C802*D802)*TAN(RADIANS(B802)))/(C802*D802*SIN(RADIANS(E802))*COS(RADIANS(E802)))</f>
        <v>1.27639847869506</v>
      </c>
    </row>
    <row r="803" customFormat="false" ht="15" hidden="false" customHeight="false" outlineLevel="0" collapsed="false">
      <c r="A803" s="0" t="n">
        <v>10.626</v>
      </c>
      <c r="B803" s="0" t="n">
        <v>34.468</v>
      </c>
      <c r="C803" s="0" t="n">
        <v>18.851</v>
      </c>
      <c r="D803" s="0" t="n">
        <v>17.257</v>
      </c>
      <c r="E803" s="0" t="n">
        <v>30.556</v>
      </c>
      <c r="F803" s="0" t="n">
        <v>0.1916</v>
      </c>
      <c r="G803" s="12" t="n">
        <f aca="false">(A803+(C803*D803*COS(RADIANS(E803))^2-F803*C803*D803)*TAN(RADIANS(B803)))/(C803*D803*SIN(RADIANS(E803))*COS(RADIANS(E803)))</f>
        <v>0.936952667805685</v>
      </c>
    </row>
    <row r="804" customFormat="false" ht="15" hidden="false" customHeight="false" outlineLevel="0" collapsed="false">
      <c r="A804" s="0" t="n">
        <v>16.588</v>
      </c>
      <c r="B804" s="0" t="n">
        <v>38.439</v>
      </c>
      <c r="C804" s="0" t="n">
        <v>20.502</v>
      </c>
      <c r="D804" s="0" t="n">
        <v>14.943</v>
      </c>
      <c r="E804" s="0" t="n">
        <v>30.204</v>
      </c>
      <c r="F804" s="0" t="n">
        <v>0.0369</v>
      </c>
      <c r="G804" s="12" t="n">
        <f aca="false">(A804+(C804*D804*COS(RADIANS(E804))^2-F804*C804*D804)*TAN(RADIANS(B804)))/(C804*D804*SIN(RADIANS(E804))*COS(RADIANS(E804)))</f>
        <v>1.42066546484991</v>
      </c>
    </row>
    <row r="805" customFormat="false" ht="15" hidden="false" customHeight="false" outlineLevel="0" collapsed="false">
      <c r="A805" s="0" t="n">
        <v>15.242</v>
      </c>
      <c r="B805" s="0" t="n">
        <v>31.705</v>
      </c>
      <c r="C805" s="0" t="n">
        <v>19.044</v>
      </c>
      <c r="D805" s="0" t="n">
        <v>10.038</v>
      </c>
      <c r="E805" s="0" t="n">
        <v>29.033</v>
      </c>
      <c r="F805" s="0" t="n">
        <v>0</v>
      </c>
      <c r="G805" s="12" t="n">
        <f aca="false">(A805+(C805*D805*COS(RADIANS(E805))^2-F805*C805*D805)*TAN(RADIANS(B805)))/(C805*D805*SIN(RADIANS(E805))*COS(RADIANS(E805)))</f>
        <v>1.30081101691884</v>
      </c>
    </row>
    <row r="806" customFormat="false" ht="15" hidden="false" customHeight="false" outlineLevel="0" collapsed="false">
      <c r="A806" s="0" t="n">
        <v>9.789</v>
      </c>
      <c r="B806" s="0" t="n">
        <v>35.913</v>
      </c>
      <c r="C806" s="0" t="n">
        <v>18.505</v>
      </c>
      <c r="D806" s="0" t="n">
        <v>14.806</v>
      </c>
      <c r="E806" s="0" t="n">
        <v>26.789</v>
      </c>
      <c r="F806" s="0" t="n">
        <v>0.0682</v>
      </c>
      <c r="G806" s="12" t="n">
        <f aca="false">(A806+(C806*D806*COS(RADIANS(E806))^2-F806*C806*D806)*TAN(RADIANS(B806)))/(C806*D806*SIN(RADIANS(E806))*COS(RADIANS(E806)))</f>
        <v>1.40044452661586</v>
      </c>
    </row>
    <row r="807" customFormat="false" ht="15" hidden="false" customHeight="false" outlineLevel="0" collapsed="false">
      <c r="A807" s="0" t="n">
        <v>14.795</v>
      </c>
      <c r="B807" s="0" t="n">
        <v>35.932</v>
      </c>
      <c r="C807" s="0" t="n">
        <v>19.714</v>
      </c>
      <c r="D807" s="0" t="n">
        <v>14.781</v>
      </c>
      <c r="E807" s="0" t="n">
        <v>27.234</v>
      </c>
      <c r="F807" s="0" t="n">
        <v>0.1353</v>
      </c>
      <c r="G807" s="12" t="n">
        <f aca="false">(A807+(C807*D807*COS(RADIANS(E807))^2-F807*C807*D807)*TAN(RADIANS(B807)))/(C807*D807*SIN(RADIANS(E807))*COS(RADIANS(E807)))</f>
        <v>1.29191420613237</v>
      </c>
    </row>
    <row r="808" customFormat="false" ht="15" hidden="false" customHeight="false" outlineLevel="0" collapsed="false">
      <c r="A808" s="0" t="n">
        <v>14.681</v>
      </c>
      <c r="B808" s="0" t="n">
        <v>34.232</v>
      </c>
      <c r="C808" s="0" t="n">
        <v>19.634</v>
      </c>
      <c r="D808" s="0" t="n">
        <v>16.629</v>
      </c>
      <c r="E808" s="0" t="n">
        <v>32.341</v>
      </c>
      <c r="F808" s="0" t="n">
        <v>0.2223</v>
      </c>
      <c r="G808" s="12" t="n">
        <f aca="false">(A808+(C808*D808*COS(RADIANS(E808))^2-F808*C808*D808)*TAN(RADIANS(B808)))/(C808*D808*SIN(RADIANS(E808))*COS(RADIANS(E808)))</f>
        <v>0.839438261372866</v>
      </c>
    </row>
    <row r="809" customFormat="false" ht="15" hidden="false" customHeight="false" outlineLevel="0" collapsed="false">
      <c r="A809" s="0" t="n">
        <v>22.19</v>
      </c>
      <c r="B809" s="0" t="n">
        <v>29.427</v>
      </c>
      <c r="C809" s="0" t="n">
        <v>19.391</v>
      </c>
      <c r="D809" s="0" t="n">
        <v>19.708</v>
      </c>
      <c r="E809" s="0" t="n">
        <v>26.687</v>
      </c>
      <c r="F809" s="0" t="n">
        <v>0.201</v>
      </c>
      <c r="G809" s="12" t="n">
        <f aca="false">(A809+(C809*D809*COS(RADIANS(E809))^2-F809*C809*D809)*TAN(RADIANS(B809)))/(C809*D809*SIN(RADIANS(E809))*COS(RADIANS(E809)))</f>
        <v>0.984351614618549</v>
      </c>
    </row>
    <row r="810" customFormat="false" ht="15" hidden="false" customHeight="false" outlineLevel="0" collapsed="false">
      <c r="A810" s="0" t="n">
        <v>18.577</v>
      </c>
      <c r="B810" s="0" t="n">
        <v>38.328</v>
      </c>
      <c r="C810" s="0" t="n">
        <v>20.031</v>
      </c>
      <c r="D810" s="0" t="n">
        <v>14.152</v>
      </c>
      <c r="E810" s="0" t="n">
        <v>32.505</v>
      </c>
      <c r="F810" s="0" t="n">
        <v>0.1933</v>
      </c>
      <c r="G810" s="12" t="n">
        <f aca="false">(A810+(C810*D810*COS(RADIANS(E810))^2-F810*C810*D810)*TAN(RADIANS(B810)))/(C810*D810*SIN(RADIANS(E810))*COS(RADIANS(E810)))</f>
        <v>1.0480793557668</v>
      </c>
    </row>
    <row r="811" customFormat="false" ht="15" hidden="false" customHeight="false" outlineLevel="0" collapsed="false">
      <c r="A811" s="0" t="n">
        <v>15.046</v>
      </c>
      <c r="B811" s="0" t="n">
        <v>33.278</v>
      </c>
      <c r="C811" s="0" t="n">
        <v>20.212</v>
      </c>
      <c r="D811" s="0" t="n">
        <v>13.22</v>
      </c>
      <c r="E811" s="0" t="n">
        <v>29.065</v>
      </c>
      <c r="F811" s="0" t="n">
        <v>0.2568</v>
      </c>
      <c r="G811" s="12" t="n">
        <f aca="false">(A811+(C811*D811*COS(RADIANS(E811))^2-F811*C811*D811)*TAN(RADIANS(B811)))/(C811*D811*SIN(RADIANS(E811))*COS(RADIANS(E811)))</f>
        <v>0.916567515454201</v>
      </c>
    </row>
    <row r="812" customFormat="false" ht="15" hidden="false" customHeight="false" outlineLevel="0" collapsed="false">
      <c r="A812" s="0" t="n">
        <v>15.995</v>
      </c>
      <c r="B812" s="0" t="n">
        <v>32.888</v>
      </c>
      <c r="C812" s="0" t="n">
        <v>20.556</v>
      </c>
      <c r="D812" s="0" t="n">
        <v>20.969</v>
      </c>
      <c r="E812" s="0" t="n">
        <v>27.104</v>
      </c>
      <c r="F812" s="0" t="n">
        <v>0.2456</v>
      </c>
      <c r="G812" s="12" t="n">
        <f aca="false">(A812+(C812*D812*COS(RADIANS(E812))^2-F812*C812*D812)*TAN(RADIANS(B812)))/(C812*D812*SIN(RADIANS(E812))*COS(RADIANS(E812)))</f>
        <v>0.963330884668544</v>
      </c>
    </row>
    <row r="813" customFormat="false" ht="15" hidden="false" customHeight="false" outlineLevel="0" collapsed="false">
      <c r="A813" s="0" t="n">
        <v>15.177</v>
      </c>
      <c r="B813" s="0" t="n">
        <v>30.464</v>
      </c>
      <c r="C813" s="0" t="n">
        <v>20.688</v>
      </c>
      <c r="D813" s="0" t="n">
        <v>20.238</v>
      </c>
      <c r="E813" s="0" t="n">
        <v>27.45</v>
      </c>
      <c r="F813" s="0" t="n">
        <v>0.1366</v>
      </c>
      <c r="G813" s="12" t="n">
        <f aca="false">(A813+(C813*D813*COS(RADIANS(E813))^2-F813*C813*D813)*TAN(RADIANS(B813)))/(C813*D813*SIN(RADIANS(E813))*COS(RADIANS(E813)))</f>
        <v>1.02453030983598</v>
      </c>
    </row>
    <row r="814" customFormat="false" ht="15" hidden="false" customHeight="false" outlineLevel="0" collapsed="false">
      <c r="A814" s="0" t="n">
        <v>14.188</v>
      </c>
      <c r="B814" s="0" t="n">
        <v>36.771</v>
      </c>
      <c r="C814" s="0" t="n">
        <v>21.202</v>
      </c>
      <c r="D814" s="0" t="n">
        <v>17.793</v>
      </c>
      <c r="E814" s="0" t="n">
        <v>29.066</v>
      </c>
      <c r="F814" s="0" t="n">
        <v>0.1497</v>
      </c>
      <c r="G814" s="12" t="n">
        <f aca="false">(A814+(C814*D814*COS(RADIANS(E814))^2-F814*C814*D814)*TAN(RADIANS(B814)))/(C814*D814*SIN(RADIANS(E814))*COS(RADIANS(E814)))</f>
        <v>1.16963551585688</v>
      </c>
    </row>
    <row r="815" customFormat="false" ht="15" hidden="false" customHeight="false" outlineLevel="0" collapsed="false">
      <c r="A815" s="0" t="n">
        <v>10.67</v>
      </c>
      <c r="B815" s="0" t="n">
        <v>36.1</v>
      </c>
      <c r="C815" s="0" t="n">
        <v>19.724</v>
      </c>
      <c r="D815" s="0" t="n">
        <v>18.185</v>
      </c>
      <c r="E815" s="0" t="n">
        <v>27.642</v>
      </c>
      <c r="F815" s="0" t="n">
        <v>0.142</v>
      </c>
      <c r="G815" s="12" t="n">
        <f aca="false">(A815+(C815*D815*COS(RADIANS(E815))^2-F815*C815*D815)*TAN(RADIANS(B815)))/(C815*D815*SIN(RADIANS(E815))*COS(RADIANS(E815)))</f>
        <v>1.21280203324922</v>
      </c>
    </row>
    <row r="816" customFormat="false" ht="15" hidden="false" customHeight="false" outlineLevel="0" collapsed="false">
      <c r="A816" s="0" t="n">
        <v>14.396</v>
      </c>
      <c r="B816" s="0" t="n">
        <v>36.621</v>
      </c>
      <c r="C816" s="0" t="n">
        <v>20.458</v>
      </c>
      <c r="D816" s="0" t="n">
        <v>9.442</v>
      </c>
      <c r="E816" s="0" t="n">
        <v>26.092</v>
      </c>
      <c r="F816" s="0" t="n">
        <v>0.2246</v>
      </c>
      <c r="G816" s="12" t="n">
        <f aca="false">(A816+(C816*D816*COS(RADIANS(E816))^2-F816*C816*D816)*TAN(RADIANS(B816)))/(C816*D816*SIN(RADIANS(E816))*COS(RADIANS(E816)))</f>
        <v>1.28372933447142</v>
      </c>
    </row>
    <row r="817" customFormat="false" ht="15" hidden="false" customHeight="false" outlineLevel="0" collapsed="false">
      <c r="A817" s="0" t="n">
        <v>12.016</v>
      </c>
      <c r="B817" s="0" t="n">
        <v>33.622</v>
      </c>
      <c r="C817" s="0" t="n">
        <v>18.162</v>
      </c>
      <c r="D817" s="0" t="n">
        <v>15.015</v>
      </c>
      <c r="E817" s="0" t="n">
        <v>27.085</v>
      </c>
      <c r="F817" s="0" t="n">
        <v>0.1258</v>
      </c>
      <c r="G817" s="12" t="n">
        <f aca="false">(A817+(C817*D817*COS(RADIANS(E817))^2-F817*C817*D817)*TAN(RADIANS(B817)))/(C817*D817*SIN(RADIANS(E817))*COS(RADIANS(E817)))</f>
        <v>1.20261195761553</v>
      </c>
    </row>
    <row r="818" customFormat="false" ht="15" hidden="false" customHeight="false" outlineLevel="0" collapsed="false">
      <c r="A818" s="0" t="n">
        <v>9.999</v>
      </c>
      <c r="B818" s="0" t="n">
        <v>34.085</v>
      </c>
      <c r="C818" s="0" t="n">
        <v>20.184</v>
      </c>
      <c r="D818" s="0" t="n">
        <v>10.377</v>
      </c>
      <c r="E818" s="0" t="n">
        <v>27.446</v>
      </c>
      <c r="F818" s="0" t="n">
        <v>0.2364</v>
      </c>
      <c r="G818" s="12" t="n">
        <f aca="false">(A818+(C818*D818*COS(RADIANS(E818))^2-F818*C818*D818)*TAN(RADIANS(B818)))/(C818*D818*SIN(RADIANS(E818))*COS(RADIANS(E818)))</f>
        <v>1.02850014405013</v>
      </c>
    </row>
    <row r="819" customFormat="false" ht="15" hidden="false" customHeight="false" outlineLevel="0" collapsed="false">
      <c r="A819" s="0" t="n">
        <v>17.045</v>
      </c>
      <c r="B819" s="0" t="n">
        <v>32.898</v>
      </c>
      <c r="C819" s="0" t="n">
        <v>19.784</v>
      </c>
      <c r="D819" s="0" t="n">
        <v>14.049</v>
      </c>
      <c r="E819" s="0" t="n">
        <v>32.958</v>
      </c>
      <c r="F819" s="0" t="n">
        <v>0.1022</v>
      </c>
      <c r="G819" s="12" t="n">
        <f aca="false">(A819+(C819*D819*COS(RADIANS(E819))^2-F819*C819*D819)*TAN(RADIANS(B819)))/(C819*D819*SIN(RADIANS(E819))*COS(RADIANS(E819)))</f>
        <v>0.987222535083937</v>
      </c>
    </row>
    <row r="820" customFormat="false" ht="15" hidden="false" customHeight="false" outlineLevel="0" collapsed="false">
      <c r="A820" s="0" t="n">
        <v>16.565</v>
      </c>
      <c r="B820" s="0" t="n">
        <v>35.706</v>
      </c>
      <c r="C820" s="0" t="n">
        <v>18.593</v>
      </c>
      <c r="D820" s="0" t="n">
        <v>16.858</v>
      </c>
      <c r="E820" s="0" t="n">
        <v>29.58</v>
      </c>
      <c r="F820" s="0" t="n">
        <v>0.2602</v>
      </c>
      <c r="G820" s="12" t="n">
        <f aca="false">(A820+(C820*D820*COS(RADIANS(E820))^2-F820*C820*D820)*TAN(RADIANS(B820)))/(C820*D820*SIN(RADIANS(E820))*COS(RADIANS(E820)))</f>
        <v>0.953705744046146</v>
      </c>
    </row>
    <row r="821" customFormat="false" ht="15" hidden="false" customHeight="false" outlineLevel="0" collapsed="false">
      <c r="A821" s="0" t="n">
        <v>7.853</v>
      </c>
      <c r="B821" s="0" t="n">
        <v>34.953</v>
      </c>
      <c r="C821" s="0" t="n">
        <v>19.577</v>
      </c>
      <c r="D821" s="0" t="n">
        <v>14.701</v>
      </c>
      <c r="E821" s="0" t="n">
        <v>32.701</v>
      </c>
      <c r="F821" s="0" t="n">
        <v>0.263</v>
      </c>
      <c r="G821" s="12" t="n">
        <f aca="false">(A821+(C821*D821*COS(RADIANS(E821))^2-F821*C821*D821)*TAN(RADIANS(B821)))/(C821*D821*SIN(RADIANS(E821))*COS(RADIANS(E821)))</f>
        <v>0.744397320701327</v>
      </c>
    </row>
    <row r="822" customFormat="false" ht="15" hidden="false" customHeight="false" outlineLevel="0" collapsed="false">
      <c r="A822" s="0" t="n">
        <v>14.509</v>
      </c>
      <c r="B822" s="0" t="n">
        <v>34.037</v>
      </c>
      <c r="C822" s="0" t="n">
        <v>19.699</v>
      </c>
      <c r="D822" s="0" t="n">
        <v>18.045</v>
      </c>
      <c r="E822" s="0" t="n">
        <v>25.875</v>
      </c>
      <c r="F822" s="0" t="n">
        <v>0.3407</v>
      </c>
      <c r="G822" s="12" t="n">
        <f aca="false">(A822+(C822*D822*COS(RADIANS(E822))^2-F822*C822*D822)*TAN(RADIANS(B822)))/(C822*D822*SIN(RADIANS(E822))*COS(RADIANS(E822)))</f>
        <v>0.910456741500699</v>
      </c>
    </row>
    <row r="823" customFormat="false" ht="15" hidden="false" customHeight="false" outlineLevel="0" collapsed="false">
      <c r="A823" s="0" t="n">
        <v>18.983</v>
      </c>
      <c r="B823" s="0" t="n">
        <v>31.275</v>
      </c>
      <c r="C823" s="0" t="n">
        <v>20.441</v>
      </c>
      <c r="D823" s="0" t="n">
        <v>15.254</v>
      </c>
      <c r="E823" s="0" t="n">
        <v>29.394</v>
      </c>
      <c r="F823" s="0" t="n">
        <v>0.1896</v>
      </c>
      <c r="G823" s="12" t="n">
        <f aca="false">(A823+(C823*D823*COS(RADIANS(E823))^2-F823*C823*D823)*TAN(RADIANS(B823)))/(C823*D823*SIN(RADIANS(E823))*COS(RADIANS(E823)))</f>
        <v>0.95130290456408</v>
      </c>
    </row>
    <row r="824" customFormat="false" ht="15" hidden="false" customHeight="false" outlineLevel="0" collapsed="false">
      <c r="A824" s="0" t="n">
        <v>19.237</v>
      </c>
      <c r="B824" s="0" t="n">
        <v>34.027</v>
      </c>
      <c r="C824" s="0" t="n">
        <v>19.98</v>
      </c>
      <c r="D824" s="0" t="n">
        <v>13.976</v>
      </c>
      <c r="E824" s="0" t="n">
        <v>26.363</v>
      </c>
      <c r="F824" s="0" t="n">
        <v>0.142</v>
      </c>
      <c r="G824" s="12" t="n">
        <f aca="false">(A824+(C824*D824*COS(RADIANS(E824))^2-F824*C824*D824)*TAN(RADIANS(B824)))/(C824*D824*SIN(RADIANS(E824))*COS(RADIANS(E824)))</f>
        <v>1.29455020397903</v>
      </c>
    </row>
    <row r="825" customFormat="false" ht="15" hidden="false" customHeight="false" outlineLevel="0" collapsed="false">
      <c r="A825" s="0" t="n">
        <v>19.103</v>
      </c>
      <c r="B825" s="0" t="n">
        <v>30.542</v>
      </c>
      <c r="C825" s="0" t="n">
        <v>19.747</v>
      </c>
      <c r="D825" s="0" t="n">
        <v>16.577</v>
      </c>
      <c r="E825" s="0" t="n">
        <v>29.06</v>
      </c>
      <c r="F825" s="0" t="n">
        <v>0.1546</v>
      </c>
      <c r="G825" s="12" t="n">
        <f aca="false">(A825+(C825*D825*COS(RADIANS(E825))^2-F825*C825*D825)*TAN(RADIANS(B825)))/(C825*D825*SIN(RADIANS(E825))*COS(RADIANS(E825)))</f>
        <v>0.984424641732228</v>
      </c>
    </row>
    <row r="826" customFormat="false" ht="15" hidden="false" customHeight="false" outlineLevel="0" collapsed="false">
      <c r="A826" s="0" t="n">
        <v>15.156</v>
      </c>
      <c r="B826" s="0" t="n">
        <v>33.096</v>
      </c>
      <c r="C826" s="0" t="n">
        <v>19.102</v>
      </c>
      <c r="D826" s="0" t="n">
        <v>18.168</v>
      </c>
      <c r="E826" s="0" t="n">
        <v>30.066</v>
      </c>
      <c r="F826" s="0" t="n">
        <v>0.0138</v>
      </c>
      <c r="G826" s="12" t="n">
        <f aca="false">(A826+(C826*D826*COS(RADIANS(E826))^2-F826*C826*D826)*TAN(RADIANS(B826)))/(C826*D826*SIN(RADIANS(E826))*COS(RADIANS(E826)))</f>
        <v>1.20591666987901</v>
      </c>
    </row>
    <row r="827" customFormat="false" ht="15" hidden="false" customHeight="false" outlineLevel="0" collapsed="false">
      <c r="A827" s="0" t="n">
        <v>11.62</v>
      </c>
      <c r="B827" s="0" t="n">
        <v>32.511</v>
      </c>
      <c r="C827" s="0" t="n">
        <v>21.084</v>
      </c>
      <c r="D827" s="0" t="n">
        <v>12.286</v>
      </c>
      <c r="E827" s="0" t="n">
        <v>31.679</v>
      </c>
      <c r="F827" s="0" t="n">
        <v>0.1008</v>
      </c>
      <c r="G827" s="12" t="n">
        <f aca="false">(A827+(C827*D827*COS(RADIANS(E827))^2-F827*C827*D827)*TAN(RADIANS(B827)))/(C827*D827*SIN(RADIANS(E827))*COS(RADIANS(E827)))</f>
        <v>0.989411510441407</v>
      </c>
    </row>
    <row r="828" customFormat="false" ht="15" hidden="false" customHeight="false" outlineLevel="0" collapsed="false">
      <c r="A828" s="0" t="n">
        <v>10.665</v>
      </c>
      <c r="B828" s="0" t="n">
        <v>34.273</v>
      </c>
      <c r="C828" s="0" t="n">
        <v>22.49</v>
      </c>
      <c r="D828" s="0" t="n">
        <v>21.927</v>
      </c>
      <c r="E828" s="0" t="n">
        <v>29.415</v>
      </c>
      <c r="F828" s="0" t="n">
        <v>0.0399</v>
      </c>
      <c r="G828" s="12" t="n">
        <f aca="false">(A828+(C828*D828*COS(RADIANS(E828))^2-F828*C828*D828)*TAN(RADIANS(B828)))/(C828*D828*SIN(RADIANS(E828))*COS(RADIANS(E828)))</f>
        <v>1.19565821990203</v>
      </c>
    </row>
    <row r="829" customFormat="false" ht="15" hidden="false" customHeight="false" outlineLevel="0" collapsed="false">
      <c r="A829" s="0" t="n">
        <v>16.378</v>
      </c>
      <c r="B829" s="0" t="n">
        <v>35.786</v>
      </c>
      <c r="C829" s="0" t="n">
        <v>19.922</v>
      </c>
      <c r="D829" s="0" t="n">
        <v>8.714</v>
      </c>
      <c r="E829" s="0" t="n">
        <v>27.976</v>
      </c>
      <c r="F829" s="0" t="n">
        <v>0.2113</v>
      </c>
      <c r="G829" s="12" t="n">
        <f aca="false">(A829+(C829*D829*COS(RADIANS(E829))^2-F829*C829*D829)*TAN(RADIANS(B829)))/(C829*D829*SIN(RADIANS(E829))*COS(RADIANS(E829)))</f>
        <v>1.21716065769423</v>
      </c>
    </row>
    <row r="830" customFormat="false" ht="15" hidden="false" customHeight="false" outlineLevel="0" collapsed="false">
      <c r="A830" s="0" t="n">
        <v>16.517</v>
      </c>
      <c r="B830" s="0" t="n">
        <v>34.5</v>
      </c>
      <c r="C830" s="0" t="n">
        <v>19.927</v>
      </c>
      <c r="D830" s="0" t="n">
        <v>10.875</v>
      </c>
      <c r="E830" s="0" t="n">
        <v>27.623</v>
      </c>
      <c r="F830" s="0" t="n">
        <v>0.1612</v>
      </c>
      <c r="G830" s="12" t="n">
        <f aca="false">(A830+(C830*D830*COS(RADIANS(E830))^2-F830*C830*D830)*TAN(RADIANS(B830)))/(C830*D830*SIN(RADIANS(E830))*COS(RADIANS(E830)))</f>
        <v>1.22920763890634</v>
      </c>
    </row>
    <row r="831" customFormat="false" ht="15" hidden="false" customHeight="false" outlineLevel="0" collapsed="false">
      <c r="A831" s="0" t="n">
        <v>20.149</v>
      </c>
      <c r="B831" s="0" t="n">
        <v>33.188</v>
      </c>
      <c r="C831" s="0" t="n">
        <v>20.468</v>
      </c>
      <c r="D831" s="0" t="n">
        <v>15.318</v>
      </c>
      <c r="E831" s="0" t="n">
        <v>28.551</v>
      </c>
      <c r="F831" s="0" t="n">
        <v>0.2325</v>
      </c>
      <c r="G831" s="12" t="n">
        <f aca="false">(A831+(C831*D831*COS(RADIANS(E831))^2-F831*C831*D831)*TAN(RADIANS(B831)))/(C831*D831*SIN(RADIANS(E831))*COS(RADIANS(E831)))</f>
        <v>0.992958375257403</v>
      </c>
    </row>
    <row r="832" customFormat="false" ht="15" hidden="false" customHeight="false" outlineLevel="0" collapsed="false">
      <c r="A832" s="0" t="n">
        <v>19.4</v>
      </c>
      <c r="B832" s="0" t="n">
        <v>34.187</v>
      </c>
      <c r="C832" s="0" t="n">
        <v>18.676</v>
      </c>
      <c r="D832" s="0" t="n">
        <v>14.172</v>
      </c>
      <c r="E832" s="0" t="n">
        <v>28.707</v>
      </c>
      <c r="F832" s="0" t="n">
        <v>0.0712</v>
      </c>
      <c r="G832" s="12" t="n">
        <f aca="false">(A832+(C832*D832*COS(RADIANS(E832))^2-F832*C832*D832)*TAN(RADIANS(B832)))/(C832*D832*SIN(RADIANS(E832))*COS(RADIANS(E832)))</f>
        <v>1.29953077255414</v>
      </c>
    </row>
    <row r="833" customFormat="false" ht="15" hidden="false" customHeight="false" outlineLevel="0" collapsed="false">
      <c r="A833" s="0" t="n">
        <v>14.471</v>
      </c>
      <c r="B833" s="0" t="n">
        <v>35.441</v>
      </c>
      <c r="C833" s="0" t="n">
        <v>18.971</v>
      </c>
      <c r="D833" s="0" t="n">
        <v>18.941</v>
      </c>
      <c r="E833" s="0" t="n">
        <v>30.752</v>
      </c>
      <c r="F833" s="0" t="n">
        <v>0.1702</v>
      </c>
      <c r="G833" s="12" t="n">
        <f aca="false">(A833+(C833*D833*COS(RADIANS(E833))^2-F833*C833*D833)*TAN(RADIANS(B833)))/(C833*D833*SIN(RADIANS(E833))*COS(RADIANS(E833)))</f>
        <v>1.01220642035403</v>
      </c>
    </row>
    <row r="834" customFormat="false" ht="15" hidden="false" customHeight="false" outlineLevel="0" collapsed="false">
      <c r="A834" s="0" t="n">
        <v>10.023</v>
      </c>
      <c r="B834" s="0" t="n">
        <v>36.262</v>
      </c>
      <c r="C834" s="0" t="n">
        <v>20.517</v>
      </c>
      <c r="D834" s="0" t="n">
        <v>13.84</v>
      </c>
      <c r="E834" s="0" t="n">
        <v>27.564</v>
      </c>
      <c r="F834" s="0" t="n">
        <v>0.1493</v>
      </c>
      <c r="G834" s="12" t="n">
        <f aca="false">(A834+(C834*D834*COS(RADIANS(E834))^2-F834*C834*D834)*TAN(RADIANS(B834)))/(C834*D834*SIN(RADIANS(E834))*COS(RADIANS(E834)))</f>
        <v>1.22437324031309</v>
      </c>
    </row>
    <row r="835" customFormat="false" ht="15" hidden="false" customHeight="false" outlineLevel="0" collapsed="false">
      <c r="A835" s="0" t="n">
        <v>13.724</v>
      </c>
      <c r="B835" s="0" t="n">
        <v>39.024</v>
      </c>
      <c r="C835" s="0" t="n">
        <v>20.853</v>
      </c>
      <c r="D835" s="0" t="n">
        <v>16.863</v>
      </c>
      <c r="E835" s="0" t="n">
        <v>28.925</v>
      </c>
      <c r="F835" s="0" t="n">
        <v>0.1402</v>
      </c>
      <c r="G835" s="12" t="n">
        <f aca="false">(A835+(C835*D835*COS(RADIANS(E835))^2-F835*C835*D835)*TAN(RADIANS(B835)))/(C835*D835*SIN(RADIANS(E835))*COS(RADIANS(E835)))</f>
        <v>1.29044071306174</v>
      </c>
    </row>
    <row r="836" customFormat="false" ht="15" hidden="false" customHeight="false" outlineLevel="0" collapsed="false">
      <c r="A836" s="0" t="n">
        <v>15.869</v>
      </c>
      <c r="B836" s="0" t="n">
        <v>42.128</v>
      </c>
      <c r="C836" s="0" t="n">
        <v>19.891</v>
      </c>
      <c r="D836" s="0" t="n">
        <v>15.291</v>
      </c>
      <c r="E836" s="0" t="n">
        <v>29.116</v>
      </c>
      <c r="F836" s="0" t="n">
        <v>0.1286</v>
      </c>
      <c r="G836" s="12" t="n">
        <f aca="false">(A836+(C836*D836*COS(RADIANS(E836))^2-F836*C836*D836)*TAN(RADIANS(B836)))/(C836*D836*SIN(RADIANS(E836))*COS(RADIANS(E836)))</f>
        <v>1.47304009520878</v>
      </c>
    </row>
    <row r="837" customFormat="false" ht="15" hidden="false" customHeight="false" outlineLevel="0" collapsed="false">
      <c r="A837" s="0" t="n">
        <v>14.192</v>
      </c>
      <c r="B837" s="0" t="n">
        <v>39.352</v>
      </c>
      <c r="C837" s="0" t="n">
        <v>20.215</v>
      </c>
      <c r="D837" s="0" t="n">
        <v>12.15</v>
      </c>
      <c r="E837" s="0" t="n">
        <v>27.923</v>
      </c>
      <c r="F837" s="0" t="n">
        <v>0.2835</v>
      </c>
      <c r="G837" s="12" t="n">
        <f aca="false">(A837+(C837*D837*COS(RADIANS(E837))^2-F837*C837*D837)*TAN(RADIANS(B837)))/(C837*D837*SIN(RADIANS(E837))*COS(RADIANS(E837)))</f>
        <v>1.12502676287104</v>
      </c>
    </row>
    <row r="838" customFormat="false" ht="15" hidden="false" customHeight="false" outlineLevel="0" collapsed="false">
      <c r="A838" s="0" t="n">
        <v>12.688</v>
      </c>
      <c r="B838" s="0" t="n">
        <v>34.974</v>
      </c>
      <c r="C838" s="0" t="n">
        <v>19.597</v>
      </c>
      <c r="D838" s="0" t="n">
        <v>17.48</v>
      </c>
      <c r="E838" s="0" t="n">
        <v>27.605</v>
      </c>
      <c r="F838" s="0" t="n">
        <v>0.091</v>
      </c>
      <c r="G838" s="12" t="n">
        <f aca="false">(A838+(C838*D838*COS(RADIANS(E838))^2-F838*C838*D838)*TAN(RADIANS(B838)))/(C838*D838*SIN(RADIANS(E838))*COS(RADIANS(E838)))</f>
        <v>1.27297243486413</v>
      </c>
    </row>
    <row r="839" customFormat="false" ht="15" hidden="false" customHeight="false" outlineLevel="0" collapsed="false">
      <c r="A839" s="0" t="n">
        <v>16.012</v>
      </c>
      <c r="B839" s="0" t="n">
        <v>32.197</v>
      </c>
      <c r="C839" s="0" t="n">
        <v>20.517</v>
      </c>
      <c r="D839" s="0" t="n">
        <v>13.352</v>
      </c>
      <c r="E839" s="0" t="n">
        <v>29.297</v>
      </c>
      <c r="F839" s="0" t="n">
        <v>0.1401</v>
      </c>
      <c r="G839" s="12" t="n">
        <f aca="false">(A839+(C839*D839*COS(RADIANS(E839))^2-F839*C839*D839)*TAN(RADIANS(B839)))/(C839*D839*SIN(RADIANS(E839))*COS(RADIANS(E839)))</f>
        <v>1.05243032162262</v>
      </c>
    </row>
    <row r="840" customFormat="false" ht="15" hidden="false" customHeight="false" outlineLevel="0" collapsed="false">
      <c r="A840" s="0" t="n">
        <v>12.984</v>
      </c>
      <c r="B840" s="0" t="n">
        <v>33.892</v>
      </c>
      <c r="C840" s="0" t="n">
        <v>19.57</v>
      </c>
      <c r="D840" s="0" t="n">
        <v>12.976</v>
      </c>
      <c r="E840" s="0" t="n">
        <v>29.793</v>
      </c>
      <c r="F840" s="0" t="n">
        <v>0.2127</v>
      </c>
      <c r="G840" s="12" t="n">
        <f aca="false">(A840+(C840*D840*COS(RADIANS(E840))^2-F840*C840*D840)*TAN(RADIANS(B840)))/(C840*D840*SIN(RADIANS(E840))*COS(RADIANS(E840)))</f>
        <v>0.960515052002965</v>
      </c>
    </row>
    <row r="841" customFormat="false" ht="15" hidden="false" customHeight="false" outlineLevel="0" collapsed="false">
      <c r="A841" s="0" t="n">
        <v>12.488</v>
      </c>
      <c r="B841" s="0" t="n">
        <v>35.599</v>
      </c>
      <c r="C841" s="0" t="n">
        <v>19.744</v>
      </c>
      <c r="D841" s="0" t="n">
        <v>12.008</v>
      </c>
      <c r="E841" s="0" t="n">
        <v>27.071</v>
      </c>
      <c r="F841" s="0" t="n">
        <v>0.0303</v>
      </c>
      <c r="G841" s="12" t="n">
        <f aca="false">(A841+(C841*D841*COS(RADIANS(E841))^2-F841*C841*D841)*TAN(RADIANS(B841)))/(C841*D841*SIN(RADIANS(E841))*COS(RADIANS(E841)))</f>
        <v>1.47719735032496</v>
      </c>
    </row>
    <row r="842" customFormat="false" ht="15" hidden="false" customHeight="false" outlineLevel="0" collapsed="false">
      <c r="A842" s="0" t="n">
        <v>16.246</v>
      </c>
      <c r="B842" s="0" t="n">
        <v>33.73</v>
      </c>
      <c r="C842" s="0" t="n">
        <v>22.775</v>
      </c>
      <c r="D842" s="0" t="n">
        <v>16.618</v>
      </c>
      <c r="E842" s="0" t="n">
        <v>28.887</v>
      </c>
      <c r="F842" s="0" t="n">
        <v>0.122</v>
      </c>
      <c r="G842" s="12" t="n">
        <f aca="false">(A842+(C842*D842*COS(RADIANS(E842))^2-F842*C842*D842)*TAN(RADIANS(B842)))/(C842*D842*SIN(RADIANS(E842))*COS(RADIANS(E842)))</f>
        <v>1.11904215076754</v>
      </c>
    </row>
    <row r="843" customFormat="false" ht="15" hidden="false" customHeight="false" outlineLevel="0" collapsed="false">
      <c r="A843" s="0" t="n">
        <v>13.392</v>
      </c>
      <c r="B843" s="0" t="n">
        <v>34.009</v>
      </c>
      <c r="C843" s="0" t="n">
        <v>20.211</v>
      </c>
      <c r="D843" s="0" t="n">
        <v>12.18</v>
      </c>
      <c r="E843" s="0" t="n">
        <v>28.538</v>
      </c>
      <c r="F843" s="0" t="n">
        <v>0.1425</v>
      </c>
      <c r="G843" s="12" t="n">
        <f aca="false">(A843+(C843*D843*COS(RADIANS(E843))^2-F843*C843*D843)*TAN(RADIANS(B843)))/(C843*D843*SIN(RADIANS(E843))*COS(RADIANS(E843)))</f>
        <v>1.14127463537281</v>
      </c>
    </row>
    <row r="844" customFormat="false" ht="15" hidden="false" customHeight="false" outlineLevel="0" collapsed="false">
      <c r="A844" s="0" t="n">
        <v>15.976</v>
      </c>
      <c r="B844" s="0" t="n">
        <v>36.935</v>
      </c>
      <c r="C844" s="0" t="n">
        <v>19.594</v>
      </c>
      <c r="D844" s="0" t="n">
        <v>10.565</v>
      </c>
      <c r="E844" s="0" t="n">
        <v>30.124</v>
      </c>
      <c r="F844" s="0" t="n">
        <v>0.2235</v>
      </c>
      <c r="G844" s="12" t="n">
        <f aca="false">(A844+(C844*D844*COS(RADIANS(E844))^2-F844*C844*D844)*TAN(RADIANS(B844)))/(C844*D844*SIN(RADIANS(E844))*COS(RADIANS(E844)))</f>
        <v>1.08635015221388</v>
      </c>
    </row>
    <row r="845" customFormat="false" ht="15" hidden="false" customHeight="false" outlineLevel="0" collapsed="false">
      <c r="A845" s="0" t="n">
        <v>16.093</v>
      </c>
      <c r="B845" s="0" t="n">
        <v>34.398</v>
      </c>
      <c r="C845" s="0" t="n">
        <v>20.652</v>
      </c>
      <c r="D845" s="0" t="n">
        <v>20.336</v>
      </c>
      <c r="E845" s="0" t="n">
        <v>26.284</v>
      </c>
      <c r="F845" s="0" t="n">
        <v>0.1105</v>
      </c>
      <c r="G845" s="12" t="n">
        <f aca="false">(A845+(C845*D845*COS(RADIANS(E845))^2-F845*C845*D845)*TAN(RADIANS(B845)))/(C845*D845*SIN(RADIANS(E845))*COS(RADIANS(E845)))</f>
        <v>1.29224667245994</v>
      </c>
    </row>
    <row r="846" customFormat="false" ht="15" hidden="false" customHeight="false" outlineLevel="0" collapsed="false">
      <c r="A846" s="0" t="n">
        <v>10.442</v>
      </c>
      <c r="B846" s="0" t="n">
        <v>35.954</v>
      </c>
      <c r="C846" s="0" t="n">
        <v>18.739</v>
      </c>
      <c r="D846" s="0" t="n">
        <v>11.717</v>
      </c>
      <c r="E846" s="0" t="n">
        <v>26.664</v>
      </c>
      <c r="F846" s="0" t="n">
        <v>0.0749</v>
      </c>
      <c r="G846" s="12" t="n">
        <f aca="false">(A846+(C846*D846*COS(RADIANS(E846))^2-F846*C846*D846)*TAN(RADIANS(B846)))/(C846*D846*SIN(RADIANS(E846))*COS(RADIANS(E846)))</f>
        <v>1.42751403466877</v>
      </c>
    </row>
    <row r="847" customFormat="false" ht="15" hidden="false" customHeight="false" outlineLevel="0" collapsed="false">
      <c r="A847" s="0" t="n">
        <v>13.075</v>
      </c>
      <c r="B847" s="0" t="n">
        <v>34.323</v>
      </c>
      <c r="C847" s="0" t="n">
        <v>18.736</v>
      </c>
      <c r="D847" s="0" t="n">
        <v>14.105</v>
      </c>
      <c r="E847" s="0" t="n">
        <v>29.185</v>
      </c>
      <c r="F847" s="0" t="n">
        <v>0.1825</v>
      </c>
      <c r="G847" s="12" t="n">
        <f aca="false">(A847+(C847*D847*COS(RADIANS(E847))^2-F847*C847*D847)*TAN(RADIANS(B847)))/(C847*D847*SIN(RADIANS(E847))*COS(RADIANS(E847)))</f>
        <v>1.04591193486625</v>
      </c>
    </row>
    <row r="848" customFormat="false" ht="15" hidden="false" customHeight="false" outlineLevel="0" collapsed="false">
      <c r="A848" s="0" t="n">
        <v>20.751</v>
      </c>
      <c r="B848" s="0" t="n">
        <v>28.974</v>
      </c>
      <c r="C848" s="0" t="n">
        <v>19.124</v>
      </c>
      <c r="D848" s="0" t="n">
        <v>10.425</v>
      </c>
      <c r="E848" s="0" t="n">
        <v>28.122</v>
      </c>
      <c r="F848" s="0" t="n">
        <v>0.0438</v>
      </c>
      <c r="G848" s="12" t="n">
        <f aca="false">(A848+(C848*D848*COS(RADIANS(E848))^2-F848*C848*D848)*TAN(RADIANS(B848)))/(C848*D848*SIN(RADIANS(E848))*COS(RADIANS(E848)))</f>
        <v>1.22809824807313</v>
      </c>
    </row>
    <row r="849" customFormat="false" ht="15" hidden="false" customHeight="false" outlineLevel="0" collapsed="false">
      <c r="A849" s="0" t="n">
        <v>10.352</v>
      </c>
      <c r="B849" s="0" t="n">
        <v>28.969</v>
      </c>
      <c r="C849" s="0" t="n">
        <v>21.7</v>
      </c>
      <c r="D849" s="0" t="n">
        <v>18.03</v>
      </c>
      <c r="E849" s="0" t="n">
        <v>27.775</v>
      </c>
      <c r="F849" s="0" t="n">
        <v>0.2219</v>
      </c>
      <c r="G849" s="12" t="n">
        <f aca="false">(A849+(C849*D849*COS(RADIANS(E849))^2-F849*C849*D849)*TAN(RADIANS(B849)))/(C849*D849*SIN(RADIANS(E849))*COS(RADIANS(E849)))</f>
        <v>0.817341404009968</v>
      </c>
    </row>
    <row r="850" customFormat="false" ht="15" hidden="false" customHeight="false" outlineLevel="0" collapsed="false">
      <c r="A850" s="0" t="n">
        <v>6.533</v>
      </c>
      <c r="B850" s="0" t="n">
        <v>36.133</v>
      </c>
      <c r="C850" s="0" t="n">
        <v>19.668</v>
      </c>
      <c r="D850" s="0" t="n">
        <v>16.945</v>
      </c>
      <c r="E850" s="0" t="n">
        <v>27.892</v>
      </c>
      <c r="F850" s="0" t="n">
        <v>0</v>
      </c>
      <c r="G850" s="12" t="n">
        <f aca="false">(A850+(C850*D850*COS(RADIANS(E850))^2-F850*C850*D850)*TAN(RADIANS(B850)))/(C850*D850*SIN(RADIANS(E850))*COS(RADIANS(E850)))</f>
        <v>1.42678606339034</v>
      </c>
    </row>
    <row r="851" customFormat="false" ht="15" hidden="false" customHeight="false" outlineLevel="0" collapsed="false">
      <c r="A851" s="0" t="n">
        <v>7.553</v>
      </c>
      <c r="B851" s="0" t="n">
        <v>34.728</v>
      </c>
      <c r="C851" s="0" t="n">
        <v>20.241</v>
      </c>
      <c r="D851" s="0" t="n">
        <v>9.875</v>
      </c>
      <c r="E851" s="0" t="n">
        <v>28.024</v>
      </c>
      <c r="F851" s="0" t="n">
        <v>0.1202</v>
      </c>
      <c r="G851" s="12" t="n">
        <f aca="false">(A851+(C851*D851*COS(RADIANS(E851))^2-F851*C851*D851)*TAN(RADIANS(B851)))/(C851*D851*SIN(RADIANS(E851))*COS(RADIANS(E851)))</f>
        <v>1.19254525917692</v>
      </c>
    </row>
    <row r="852" customFormat="false" ht="15" hidden="false" customHeight="false" outlineLevel="0" collapsed="false">
      <c r="A852" s="0" t="n">
        <v>15.116</v>
      </c>
      <c r="B852" s="0" t="n">
        <v>35.419</v>
      </c>
      <c r="C852" s="0" t="n">
        <v>19.686</v>
      </c>
      <c r="D852" s="0" t="n">
        <v>7.687</v>
      </c>
      <c r="E852" s="0" t="n">
        <v>30.671</v>
      </c>
      <c r="F852" s="0" t="n">
        <v>0.2548</v>
      </c>
      <c r="G852" s="12" t="n">
        <f aca="false">(A852+(C852*D852*COS(RADIANS(E852))^2-F852*C852*D852)*TAN(RADIANS(B852)))/(C852*D852*SIN(RADIANS(E852))*COS(RADIANS(E852)))</f>
        <v>1.01378429055368</v>
      </c>
    </row>
    <row r="853" customFormat="false" ht="15" hidden="false" customHeight="false" outlineLevel="0" collapsed="false">
      <c r="A853" s="0" t="n">
        <v>15.124</v>
      </c>
      <c r="B853" s="0" t="n">
        <v>35.827</v>
      </c>
      <c r="C853" s="0" t="n">
        <v>21.064</v>
      </c>
      <c r="D853" s="0" t="n">
        <v>14.397</v>
      </c>
      <c r="E853" s="0" t="n">
        <v>26.329</v>
      </c>
      <c r="F853" s="0" t="n">
        <v>0.2592</v>
      </c>
      <c r="G853" s="12" t="n">
        <f aca="false">(A853+(C853*D853*COS(RADIANS(E853))^2-F853*C853*D853)*TAN(RADIANS(B853)))/(C853*D853*SIN(RADIANS(E853))*COS(RADIANS(E853)))</f>
        <v>1.11359079284611</v>
      </c>
    </row>
    <row r="854" customFormat="false" ht="15" hidden="false" customHeight="false" outlineLevel="0" collapsed="false">
      <c r="A854" s="0" t="n">
        <v>14.53</v>
      </c>
      <c r="B854" s="0" t="n">
        <v>35.649</v>
      </c>
      <c r="C854" s="0" t="n">
        <v>19.457</v>
      </c>
      <c r="D854" s="0" t="n">
        <v>16.148</v>
      </c>
      <c r="E854" s="0" t="n">
        <v>25.479</v>
      </c>
      <c r="F854" s="0" t="n">
        <v>0.2346</v>
      </c>
      <c r="G854" s="12" t="n">
        <f aca="false">(A854+(C854*D854*COS(RADIANS(E854))^2-F854*C854*D854)*TAN(RADIANS(B854)))/(C854*D854*SIN(RADIANS(E854))*COS(RADIANS(E854)))</f>
        <v>1.19091611306022</v>
      </c>
    </row>
    <row r="855" customFormat="false" ht="15" hidden="false" customHeight="false" outlineLevel="0" collapsed="false">
      <c r="A855" s="0" t="n">
        <v>19.857</v>
      </c>
      <c r="B855" s="0" t="n">
        <v>34.844</v>
      </c>
      <c r="C855" s="0" t="n">
        <v>19.033</v>
      </c>
      <c r="D855" s="0" t="n">
        <v>15.227</v>
      </c>
      <c r="E855" s="0" t="n">
        <v>25.699</v>
      </c>
      <c r="F855" s="0" t="n">
        <v>0.0009</v>
      </c>
      <c r="G855" s="12" t="n">
        <f aca="false">(A855+(C855*D855*COS(RADIANS(E855))^2-F855*C855*D855)*TAN(RADIANS(B855)))/(C855*D855*SIN(RADIANS(E855))*COS(RADIANS(E855)))</f>
        <v>1.62031501210086</v>
      </c>
    </row>
    <row r="856" customFormat="false" ht="15" hidden="false" customHeight="false" outlineLevel="0" collapsed="false">
      <c r="A856" s="0" t="n">
        <v>4.309</v>
      </c>
      <c r="B856" s="0" t="n">
        <v>38.833</v>
      </c>
      <c r="C856" s="0" t="n">
        <v>20.449</v>
      </c>
      <c r="D856" s="0" t="n">
        <v>15.867</v>
      </c>
      <c r="E856" s="0" t="n">
        <v>30.428</v>
      </c>
      <c r="F856" s="0" t="n">
        <v>0.1691</v>
      </c>
      <c r="G856" s="12" t="n">
        <f aca="false">(A856+(C856*D856*COS(RADIANS(E856))^2-F856*C856*D856)*TAN(RADIANS(B856)))/(C856*D856*SIN(RADIANS(E856))*COS(RADIANS(E856)))</f>
        <v>1.08921020323255</v>
      </c>
    </row>
    <row r="857" customFormat="false" ht="15" hidden="false" customHeight="false" outlineLevel="0" collapsed="false">
      <c r="A857" s="0" t="n">
        <v>16.584</v>
      </c>
      <c r="B857" s="0" t="n">
        <v>35.634</v>
      </c>
      <c r="C857" s="0" t="n">
        <v>19.314</v>
      </c>
      <c r="D857" s="0" t="n">
        <v>12.624</v>
      </c>
      <c r="E857" s="0" t="n">
        <v>24.463</v>
      </c>
      <c r="F857" s="0" t="n">
        <v>0.0708</v>
      </c>
      <c r="G857" s="12" t="n">
        <f aca="false">(A857+(C857*D857*COS(RADIANS(E857))^2-F857*C857*D857)*TAN(RADIANS(B857)))/(C857*D857*SIN(RADIANS(E857))*COS(RADIANS(E857)))</f>
        <v>1.62143712994802</v>
      </c>
    </row>
    <row r="858" customFormat="false" ht="15" hidden="false" customHeight="false" outlineLevel="0" collapsed="false">
      <c r="A858" s="0" t="n">
        <v>21.246</v>
      </c>
      <c r="B858" s="0" t="n">
        <v>35.715</v>
      </c>
      <c r="C858" s="0" t="n">
        <v>19.732</v>
      </c>
      <c r="D858" s="0" t="n">
        <v>10.138</v>
      </c>
      <c r="E858" s="0" t="n">
        <v>28.769</v>
      </c>
      <c r="F858" s="0" t="n">
        <v>0.0948</v>
      </c>
      <c r="G858" s="12" t="n">
        <f aca="false">(A858+(C858*D858*COS(RADIANS(E858))^2-F858*C858*D858)*TAN(RADIANS(B858)))/(C858*D858*SIN(RADIANS(E858))*COS(RADIANS(E858)))</f>
        <v>1.39966925006701</v>
      </c>
    </row>
    <row r="859" customFormat="false" ht="15" hidden="false" customHeight="false" outlineLevel="0" collapsed="false">
      <c r="A859" s="0" t="n">
        <v>10.489</v>
      </c>
      <c r="B859" s="0" t="n">
        <v>33.45</v>
      </c>
      <c r="C859" s="0" t="n">
        <v>19.913</v>
      </c>
      <c r="D859" s="0" t="n">
        <v>9.322</v>
      </c>
      <c r="E859" s="0" t="n">
        <v>26.017</v>
      </c>
      <c r="F859" s="0" t="n">
        <v>0.1326</v>
      </c>
      <c r="G859" s="12" t="n">
        <f aca="false">(A859+(C859*D859*COS(RADIANS(E859))^2-F859*C859*D859)*TAN(RADIANS(B859)))/(C859*D859*SIN(RADIANS(E859))*COS(RADIANS(E859)))</f>
        <v>1.27459304835034</v>
      </c>
    </row>
    <row r="860" customFormat="false" ht="15" hidden="false" customHeight="false" outlineLevel="0" collapsed="false">
      <c r="A860" s="0" t="n">
        <v>13.481</v>
      </c>
      <c r="B860" s="0" t="n">
        <v>31.527</v>
      </c>
      <c r="C860" s="0" t="n">
        <v>20.183</v>
      </c>
      <c r="D860" s="0" t="n">
        <v>12.062</v>
      </c>
      <c r="E860" s="0" t="n">
        <v>28.341</v>
      </c>
      <c r="F860" s="0" t="n">
        <v>0.2688</v>
      </c>
      <c r="G860" s="12" t="n">
        <f aca="false">(A860+(C860*D860*COS(RADIANS(E860))^2-F860*C860*D860)*TAN(RADIANS(B860)))/(C860*D860*SIN(RADIANS(E860))*COS(RADIANS(E860)))</f>
        <v>0.875224881325742</v>
      </c>
    </row>
    <row r="861" customFormat="false" ht="15" hidden="false" customHeight="false" outlineLevel="0" collapsed="false">
      <c r="A861" s="0" t="n">
        <v>11.988</v>
      </c>
      <c r="B861" s="0" t="n">
        <v>41.504</v>
      </c>
      <c r="C861" s="0" t="n">
        <v>20.14</v>
      </c>
      <c r="D861" s="0" t="n">
        <v>19.24</v>
      </c>
      <c r="E861" s="0" t="n">
        <v>30.212</v>
      </c>
      <c r="F861" s="0" t="n">
        <v>0.1823</v>
      </c>
      <c r="G861" s="12" t="n">
        <f aca="false">(A861+(C861*D861*COS(RADIANS(E861))^2-F861*C861*D861)*TAN(RADIANS(B861)))/(C861*D861*SIN(RADIANS(E861))*COS(RADIANS(E861)))</f>
        <v>1.21978609166652</v>
      </c>
    </row>
    <row r="862" customFormat="false" ht="15" hidden="false" customHeight="false" outlineLevel="0" collapsed="false">
      <c r="A862" s="0" t="n">
        <v>11.423</v>
      </c>
      <c r="B862" s="0" t="n">
        <v>37.455</v>
      </c>
      <c r="C862" s="0" t="n">
        <v>18.094</v>
      </c>
      <c r="D862" s="0" t="n">
        <v>11.012</v>
      </c>
      <c r="E862" s="0" t="n">
        <v>26.564</v>
      </c>
      <c r="F862" s="0" t="n">
        <v>0.1365</v>
      </c>
      <c r="G862" s="12" t="n">
        <f aca="false">(A862+(C862*D862*COS(RADIANS(E862))^2-F862*C862*D862)*TAN(RADIANS(B862)))/(C862*D862*SIN(RADIANS(E862))*COS(RADIANS(E862)))</f>
        <v>1.41412622802924</v>
      </c>
    </row>
    <row r="863" customFormat="false" ht="15" hidden="false" customHeight="false" outlineLevel="0" collapsed="false">
      <c r="A863" s="0" t="n">
        <v>13.695</v>
      </c>
      <c r="B863" s="0" t="n">
        <v>35.743</v>
      </c>
      <c r="C863" s="0" t="n">
        <v>18.761</v>
      </c>
      <c r="D863" s="0" t="n">
        <v>13.429</v>
      </c>
      <c r="E863" s="0" t="n">
        <v>30.712</v>
      </c>
      <c r="F863" s="0" t="n">
        <v>0.19</v>
      </c>
      <c r="G863" s="12" t="n">
        <f aca="false">(A863+(C863*D863*COS(RADIANS(E863))^2-F863*C863*D863)*TAN(RADIANS(B863)))/(C863*D863*SIN(RADIANS(E863))*COS(RADIANS(E863)))</f>
        <v>1.02392299722376</v>
      </c>
    </row>
    <row r="864" customFormat="false" ht="15" hidden="false" customHeight="false" outlineLevel="0" collapsed="false">
      <c r="A864" s="0" t="n">
        <v>20.71</v>
      </c>
      <c r="B864" s="0" t="n">
        <v>34.293</v>
      </c>
      <c r="C864" s="0" t="n">
        <v>19.045</v>
      </c>
      <c r="D864" s="0" t="n">
        <v>17.018</v>
      </c>
      <c r="E864" s="0" t="n">
        <v>26.274</v>
      </c>
      <c r="F864" s="0" t="n">
        <v>0.0505</v>
      </c>
      <c r="G864" s="12" t="n">
        <f aca="false">(A864+(C864*D864*COS(RADIANS(E864))^2-F864*C864*D864)*TAN(RADIANS(B864)))/(C864*D864*SIN(RADIANS(E864))*COS(RADIANS(E864)))</f>
        <v>1.45566514144803</v>
      </c>
    </row>
    <row r="865" customFormat="false" ht="15" hidden="false" customHeight="false" outlineLevel="0" collapsed="false">
      <c r="A865" s="0" t="n">
        <v>22.35</v>
      </c>
      <c r="B865" s="0" t="n">
        <v>36.862</v>
      </c>
      <c r="C865" s="0" t="n">
        <v>20.503</v>
      </c>
      <c r="D865" s="0" t="n">
        <v>21.334</v>
      </c>
      <c r="E865" s="0" t="n">
        <v>30.393</v>
      </c>
      <c r="F865" s="0" t="n">
        <v>0.1933</v>
      </c>
      <c r="G865" s="12" t="n">
        <f aca="false">(A865+(C865*D865*COS(RADIANS(E865))^2-F865*C865*D865)*TAN(RADIANS(B865)))/(C865*D865*SIN(RADIANS(E865))*COS(RADIANS(E865)))</f>
        <v>1.06330968365531</v>
      </c>
    </row>
    <row r="866" customFormat="false" ht="15" hidden="false" customHeight="false" outlineLevel="0" collapsed="false">
      <c r="A866" s="0" t="n">
        <v>13.656</v>
      </c>
      <c r="B866" s="0" t="n">
        <v>33.475</v>
      </c>
      <c r="C866" s="0" t="n">
        <v>20.659</v>
      </c>
      <c r="D866" s="0" t="n">
        <v>17.084</v>
      </c>
      <c r="E866" s="0" t="n">
        <v>26.604</v>
      </c>
      <c r="F866" s="0" t="n">
        <v>0.3235</v>
      </c>
      <c r="G866" s="12" t="n">
        <f aca="false">(A866+(C866*D866*COS(RADIANS(E866))^2-F866*C866*D866)*TAN(RADIANS(B866)))/(C866*D866*SIN(RADIANS(E866))*COS(RADIANS(E866)))</f>
        <v>0.8826559766885</v>
      </c>
    </row>
    <row r="867" customFormat="false" ht="15" hidden="false" customHeight="false" outlineLevel="0" collapsed="false">
      <c r="A867" s="0" t="n">
        <v>22.62</v>
      </c>
      <c r="B867" s="0" t="n">
        <v>37.103</v>
      </c>
      <c r="C867" s="0" t="n">
        <v>20</v>
      </c>
      <c r="D867" s="0" t="n">
        <v>13.477</v>
      </c>
      <c r="E867" s="0" t="n">
        <v>25.379</v>
      </c>
      <c r="F867" s="0" t="n">
        <v>0.2044</v>
      </c>
      <c r="G867" s="12" t="n">
        <f aca="false">(A867+(C867*D867*COS(RADIANS(E867))^2-F867*C867*D867)*TAN(RADIANS(B867)))/(C867*D867*SIN(RADIANS(E867))*COS(RADIANS(E867)))</f>
        <v>1.41190399941755</v>
      </c>
    </row>
    <row r="868" customFormat="false" ht="15" hidden="false" customHeight="false" outlineLevel="0" collapsed="false">
      <c r="A868" s="0" t="n">
        <v>15.142</v>
      </c>
      <c r="B868" s="0" t="n">
        <v>39.481</v>
      </c>
      <c r="C868" s="0" t="n">
        <v>18.588</v>
      </c>
      <c r="D868" s="0" t="n">
        <v>13.399</v>
      </c>
      <c r="E868" s="0" t="n">
        <v>26.431</v>
      </c>
      <c r="F868" s="0" t="n">
        <v>0.15</v>
      </c>
      <c r="G868" s="12" t="n">
        <f aca="false">(A868+(C868*D868*COS(RADIANS(E868))^2-F868*C868*D868)*TAN(RADIANS(B868)))/(C868*D868*SIN(RADIANS(E868))*COS(RADIANS(E868)))</f>
        <v>1.49976058465604</v>
      </c>
    </row>
    <row r="869" customFormat="false" ht="15" hidden="false" customHeight="false" outlineLevel="0" collapsed="false">
      <c r="A869" s="0" t="n">
        <v>22.015</v>
      </c>
      <c r="B869" s="0" t="n">
        <v>34.761</v>
      </c>
      <c r="C869" s="0" t="n">
        <v>20.52</v>
      </c>
      <c r="D869" s="0" t="n">
        <v>14.783</v>
      </c>
      <c r="E869" s="0" t="n">
        <v>24.57</v>
      </c>
      <c r="F869" s="0" t="n">
        <v>0.1268</v>
      </c>
      <c r="G869" s="12" t="n">
        <f aca="false">(A869+(C869*D869*COS(RADIANS(E869))^2-F869*C869*D869)*TAN(RADIANS(B869)))/(C869*D869*SIN(RADIANS(E869))*COS(RADIANS(E869)))</f>
        <v>1.47715198503445</v>
      </c>
    </row>
    <row r="870" customFormat="false" ht="15" hidden="false" customHeight="false" outlineLevel="0" collapsed="false">
      <c r="A870" s="0" t="n">
        <v>14.627</v>
      </c>
      <c r="B870" s="0" t="n">
        <v>39.647</v>
      </c>
      <c r="C870" s="0" t="n">
        <v>21.171</v>
      </c>
      <c r="D870" s="0" t="n">
        <v>14.475</v>
      </c>
      <c r="E870" s="0" t="n">
        <v>30.479</v>
      </c>
      <c r="F870" s="0" t="n">
        <v>0.0599</v>
      </c>
      <c r="G870" s="12" t="n">
        <f aca="false">(A870+(C870*D870*COS(RADIANS(E870))^2-F870*C870*D870)*TAN(RADIANS(B870)))/(C870*D870*SIN(RADIANS(E870))*COS(RADIANS(E870)))</f>
        <v>1.40359591836822</v>
      </c>
    </row>
    <row r="871" customFormat="false" ht="15" hidden="false" customHeight="false" outlineLevel="0" collapsed="false">
      <c r="A871" s="0" t="n">
        <v>15.524</v>
      </c>
      <c r="B871" s="0" t="n">
        <v>34.205</v>
      </c>
      <c r="C871" s="0" t="n">
        <v>20.713</v>
      </c>
      <c r="D871" s="0" t="n">
        <v>16.611</v>
      </c>
      <c r="E871" s="0" t="n">
        <v>30.033</v>
      </c>
      <c r="F871" s="0" t="n">
        <v>0.1818</v>
      </c>
      <c r="G871" s="12" t="n">
        <f aca="false">(A871+(C871*D871*COS(RADIANS(E871))^2-F871*C871*D871)*TAN(RADIANS(B871)))/(C871*D871*SIN(RADIANS(E871))*COS(RADIANS(E871)))</f>
        <v>0.994693796730206</v>
      </c>
    </row>
    <row r="872" customFormat="false" ht="15" hidden="false" customHeight="false" outlineLevel="0" collapsed="false">
      <c r="A872" s="0" t="n">
        <v>16.462</v>
      </c>
      <c r="B872" s="0" t="n">
        <v>29.657</v>
      </c>
      <c r="C872" s="0" t="n">
        <v>20.989</v>
      </c>
      <c r="D872" s="0" t="n">
        <v>17.683</v>
      </c>
      <c r="E872" s="0" t="n">
        <v>28.614</v>
      </c>
      <c r="F872" s="0" t="n">
        <v>0.1689</v>
      </c>
      <c r="G872" s="12" t="n">
        <f aca="false">(A872+(C872*D872*COS(RADIANS(E872))^2-F872*C872*D872)*TAN(RADIANS(B872)))/(C872*D872*SIN(RADIANS(E872))*COS(RADIANS(E872)))</f>
        <v>0.92048751513325</v>
      </c>
    </row>
    <row r="873" customFormat="false" ht="15" hidden="false" customHeight="false" outlineLevel="0" collapsed="false">
      <c r="A873" s="0" t="n">
        <v>27.715</v>
      </c>
      <c r="B873" s="0" t="n">
        <v>37.465</v>
      </c>
      <c r="C873" s="0" t="n">
        <v>18.859</v>
      </c>
      <c r="D873" s="0" t="n">
        <v>16.887</v>
      </c>
      <c r="E873" s="0" t="n">
        <v>27.857</v>
      </c>
      <c r="F873" s="0" t="n">
        <v>0.1218</v>
      </c>
      <c r="G873" s="12" t="n">
        <f aca="false">(A873+(C873*D873*COS(RADIANS(E873))^2-F873*C873*D873)*TAN(RADIANS(B873)))/(C873*D873*SIN(RADIANS(E873))*COS(RADIANS(E873)))</f>
        <v>1.43473494485692</v>
      </c>
    </row>
    <row r="874" customFormat="false" ht="15" hidden="false" customHeight="false" outlineLevel="0" collapsed="false">
      <c r="A874" s="0" t="n">
        <v>18.405</v>
      </c>
      <c r="B874" s="0" t="n">
        <v>34.697</v>
      </c>
      <c r="C874" s="0" t="n">
        <v>19.659</v>
      </c>
      <c r="D874" s="0" t="n">
        <v>17.478</v>
      </c>
      <c r="E874" s="0" t="n">
        <v>26.351</v>
      </c>
      <c r="F874" s="0" t="n">
        <v>0.1813</v>
      </c>
      <c r="G874" s="12" t="n">
        <f aca="false">(A874+(C874*D874*COS(RADIANS(E874))^2-F874*C874*D874)*TAN(RADIANS(B874)))/(C874*D874*SIN(RADIANS(E874))*COS(RADIANS(E874)))</f>
        <v>1.21682504106987</v>
      </c>
    </row>
    <row r="875" customFormat="false" ht="15" hidden="false" customHeight="false" outlineLevel="0" collapsed="false">
      <c r="A875" s="0" t="n">
        <v>12.171</v>
      </c>
      <c r="B875" s="0" t="n">
        <v>37.483</v>
      </c>
      <c r="C875" s="0" t="n">
        <v>21.711</v>
      </c>
      <c r="D875" s="0" t="n">
        <v>11.533</v>
      </c>
      <c r="E875" s="0" t="n">
        <v>28.367</v>
      </c>
      <c r="F875" s="0" t="n">
        <v>0.1808</v>
      </c>
      <c r="G875" s="12" t="n">
        <f aca="false">(A875+(C875*D875*COS(RADIANS(E875))^2-F875*C875*D875)*TAN(RADIANS(B875)))/(C875*D875*SIN(RADIANS(E875))*COS(RADIANS(E875)))</f>
        <v>1.20485222752696</v>
      </c>
    </row>
    <row r="876" customFormat="false" ht="15" hidden="false" customHeight="false" outlineLevel="0" collapsed="false">
      <c r="A876" s="0" t="n">
        <v>18.876</v>
      </c>
      <c r="B876" s="0" t="n">
        <v>31.638</v>
      </c>
      <c r="C876" s="0" t="n">
        <v>19.231</v>
      </c>
      <c r="D876" s="0" t="n">
        <v>19.817</v>
      </c>
      <c r="E876" s="0" t="n">
        <v>28.698</v>
      </c>
      <c r="F876" s="0" t="n">
        <v>0.2641</v>
      </c>
      <c r="G876" s="12" t="n">
        <f aca="false">(A876+(C876*D876*COS(RADIANS(E876))^2-F876*C876*D876)*TAN(RADIANS(B876)))/(C876*D876*SIN(RADIANS(E876))*COS(RADIANS(E876)))</f>
        <v>0.856737385201742</v>
      </c>
    </row>
    <row r="877" customFormat="false" ht="15" hidden="false" customHeight="false" outlineLevel="0" collapsed="false">
      <c r="A877" s="0" t="n">
        <v>13.553</v>
      </c>
      <c r="B877" s="0" t="n">
        <v>33.542</v>
      </c>
      <c r="C877" s="0" t="n">
        <v>20.085</v>
      </c>
      <c r="D877" s="0" t="n">
        <v>13.4</v>
      </c>
      <c r="E877" s="0" t="n">
        <v>30.898</v>
      </c>
      <c r="F877" s="0" t="n">
        <v>0.1189</v>
      </c>
      <c r="G877" s="12" t="n">
        <f aca="false">(A877+(C877*D877*COS(RADIANS(E877))^2-F877*C877*D877)*TAN(RADIANS(B877)))/(C877*D877*SIN(RADIANS(E877))*COS(RADIANS(E877)))</f>
        <v>1.04317637781034</v>
      </c>
    </row>
    <row r="878" customFormat="false" ht="15" hidden="false" customHeight="false" outlineLevel="0" collapsed="false">
      <c r="A878" s="0" t="n">
        <v>13.041</v>
      </c>
      <c r="B878" s="0" t="n">
        <v>39.03</v>
      </c>
      <c r="C878" s="0" t="n">
        <v>18.42</v>
      </c>
      <c r="D878" s="0" t="n">
        <v>12.147</v>
      </c>
      <c r="E878" s="0" t="n">
        <v>30.286</v>
      </c>
      <c r="F878" s="0" t="n">
        <v>0.0846</v>
      </c>
      <c r="G878" s="12" t="n">
        <f aca="false">(A878+(C878*D878*COS(RADIANS(E878))^2-F878*C878*D878)*TAN(RADIANS(B878)))/(C878*D878*SIN(RADIANS(E878))*COS(RADIANS(E878)))</f>
        <v>1.36439786151248</v>
      </c>
    </row>
    <row r="879" customFormat="false" ht="15" hidden="false" customHeight="false" outlineLevel="0" collapsed="false">
      <c r="A879" s="0" t="n">
        <v>18.634</v>
      </c>
      <c r="B879" s="0" t="n">
        <v>35.886</v>
      </c>
      <c r="C879" s="0" t="n">
        <v>19.305</v>
      </c>
      <c r="D879" s="0" t="n">
        <v>12.533</v>
      </c>
      <c r="E879" s="0" t="n">
        <v>28.756</v>
      </c>
      <c r="F879" s="0" t="n">
        <v>0.18</v>
      </c>
      <c r="G879" s="12" t="n">
        <f aca="false">(A879+(C879*D879*COS(RADIANS(E879))^2-F879*C879*D879)*TAN(RADIANS(B879)))/(C879*D879*SIN(RADIANS(E879))*COS(RADIANS(E879)))</f>
        <v>1.19227508253311</v>
      </c>
    </row>
    <row r="880" customFormat="false" ht="15" hidden="false" customHeight="false" outlineLevel="0" collapsed="false">
      <c r="A880" s="0" t="n">
        <v>15.124</v>
      </c>
      <c r="B880" s="0" t="n">
        <v>39.491</v>
      </c>
      <c r="C880" s="0" t="n">
        <v>18.744</v>
      </c>
      <c r="D880" s="0" t="n">
        <v>9.23</v>
      </c>
      <c r="E880" s="0" t="n">
        <v>30.961</v>
      </c>
      <c r="F880" s="0" t="n">
        <v>0.2418</v>
      </c>
      <c r="G880" s="12" t="n">
        <f aca="false">(A880+(C880*D880*COS(RADIANS(E880))^2-F880*C880*D880)*TAN(RADIANS(B880)))/(C880*D880*SIN(RADIANS(E880))*COS(RADIANS(E880)))</f>
        <v>1.12008169899109</v>
      </c>
    </row>
    <row r="881" customFormat="false" ht="15" hidden="false" customHeight="false" outlineLevel="0" collapsed="false">
      <c r="A881" s="0" t="n">
        <v>16.114</v>
      </c>
      <c r="B881" s="0" t="n">
        <v>33.118</v>
      </c>
      <c r="C881" s="0" t="n">
        <v>18.954</v>
      </c>
      <c r="D881" s="0" t="n">
        <v>19.533</v>
      </c>
      <c r="E881" s="0" t="n">
        <v>25.354</v>
      </c>
      <c r="F881" s="0" t="n">
        <v>0.1822</v>
      </c>
      <c r="G881" s="12" t="n">
        <f aca="false">(A881+(C881*D881*COS(RADIANS(E881))^2-F881*C881*D881)*TAN(RADIANS(B881)))/(C881*D881*SIN(RADIANS(E881))*COS(RADIANS(E881)))</f>
        <v>1.18200158621357</v>
      </c>
    </row>
    <row r="882" customFormat="false" ht="15" hidden="false" customHeight="false" outlineLevel="0" collapsed="false">
      <c r="A882" s="0" t="n">
        <v>15.056</v>
      </c>
      <c r="B882" s="0" t="n">
        <v>42.085</v>
      </c>
      <c r="C882" s="0" t="n">
        <v>20.365</v>
      </c>
      <c r="D882" s="0" t="n">
        <v>14.389</v>
      </c>
      <c r="E882" s="0" t="n">
        <v>28.2</v>
      </c>
      <c r="F882" s="0" t="n">
        <v>0.1734</v>
      </c>
      <c r="G882" s="12" t="n">
        <f aca="false">(A882+(C882*D882*COS(RADIANS(E882))^2-F882*C882*D882)*TAN(RADIANS(B882)))/(C882*D882*SIN(RADIANS(E882))*COS(RADIANS(E882)))</f>
        <v>1.43161865988066</v>
      </c>
    </row>
    <row r="883" customFormat="false" ht="15" hidden="false" customHeight="false" outlineLevel="0" collapsed="false">
      <c r="A883" s="0" t="n">
        <v>16.346</v>
      </c>
      <c r="B883" s="0" t="n">
        <v>41.83</v>
      </c>
      <c r="C883" s="0" t="n">
        <v>20.712</v>
      </c>
      <c r="D883" s="0" t="n">
        <v>16.161</v>
      </c>
      <c r="E883" s="0" t="n">
        <v>28.04</v>
      </c>
      <c r="F883" s="0" t="n">
        <v>0.2169</v>
      </c>
      <c r="G883" s="12" t="n">
        <f aca="false">(A883+(C883*D883*COS(RADIANS(E883))^2-F883*C883*D883)*TAN(RADIANS(B883)))/(C883*D883*SIN(RADIANS(E883))*COS(RADIANS(E883)))</f>
        <v>1.33030376754924</v>
      </c>
    </row>
    <row r="884" customFormat="false" ht="15" hidden="false" customHeight="false" outlineLevel="0" collapsed="false">
      <c r="A884" s="0" t="n">
        <v>16.7</v>
      </c>
      <c r="B884" s="0" t="n">
        <v>37.263</v>
      </c>
      <c r="C884" s="0" t="n">
        <v>20.977</v>
      </c>
      <c r="D884" s="0" t="n">
        <v>17.779</v>
      </c>
      <c r="E884" s="0" t="n">
        <v>27.018</v>
      </c>
      <c r="F884" s="0" t="n">
        <v>0.2219</v>
      </c>
      <c r="G884" s="12" t="n">
        <f aca="false">(A884+(C884*D884*COS(RADIANS(E884))^2-F884*C884*D884)*TAN(RADIANS(B884)))/(C884*D884*SIN(RADIANS(E884))*COS(RADIANS(E884)))</f>
        <v>1.18544866887821</v>
      </c>
    </row>
    <row r="885" customFormat="false" ht="15" hidden="false" customHeight="false" outlineLevel="0" collapsed="false">
      <c r="A885" s="0" t="n">
        <v>7.252</v>
      </c>
      <c r="B885" s="0" t="n">
        <v>35.46</v>
      </c>
      <c r="C885" s="0" t="n">
        <v>19.579</v>
      </c>
      <c r="D885" s="0" t="n">
        <v>13.349</v>
      </c>
      <c r="E885" s="0" t="n">
        <v>24.44</v>
      </c>
      <c r="F885" s="0" t="n">
        <v>0.236</v>
      </c>
      <c r="G885" s="12" t="n">
        <f aca="false">(A885+(C885*D885*COS(RADIANS(E885))^2-F885*C885*D885)*TAN(RADIANS(B885)))/(C885*D885*SIN(RADIANS(E885))*COS(RADIANS(E885)))</f>
        <v>1.19462782947208</v>
      </c>
    </row>
    <row r="886" customFormat="false" ht="15" hidden="false" customHeight="false" outlineLevel="0" collapsed="false">
      <c r="A886" s="0" t="n">
        <v>17.666</v>
      </c>
      <c r="B886" s="0" t="n">
        <v>36.301</v>
      </c>
      <c r="C886" s="0" t="n">
        <v>19.822</v>
      </c>
      <c r="D886" s="0" t="n">
        <v>17.706</v>
      </c>
      <c r="E886" s="0" t="n">
        <v>26.309</v>
      </c>
      <c r="F886" s="0" t="n">
        <v>0.2403</v>
      </c>
      <c r="G886" s="12" t="n">
        <f aca="false">(A886+(C886*D886*COS(RADIANS(E886))^2-F886*C886*D886)*TAN(RADIANS(B886)))/(C886*D886*SIN(RADIANS(E886))*COS(RADIANS(E886)))</f>
        <v>1.16814725757761</v>
      </c>
    </row>
    <row r="887" customFormat="false" ht="15" hidden="false" customHeight="false" outlineLevel="0" collapsed="false">
      <c r="A887" s="0" t="n">
        <v>11.072</v>
      </c>
      <c r="B887" s="0" t="n">
        <v>38.134</v>
      </c>
      <c r="C887" s="0" t="n">
        <v>19.798</v>
      </c>
      <c r="D887" s="0" t="n">
        <v>7.759</v>
      </c>
      <c r="E887" s="0" t="n">
        <v>31.827</v>
      </c>
      <c r="F887" s="0" t="n">
        <v>0.2258</v>
      </c>
      <c r="G887" s="12" t="n">
        <f aca="false">(A887+(C887*D887*COS(RADIANS(E887))^2-F887*C887*D887)*TAN(RADIANS(B887)))/(C887*D887*SIN(RADIANS(E887))*COS(RADIANS(E887)))</f>
        <v>1.03007654867479</v>
      </c>
    </row>
    <row r="888" customFormat="false" ht="15" hidden="false" customHeight="false" outlineLevel="0" collapsed="false">
      <c r="A888" s="0" t="n">
        <v>9.231</v>
      </c>
      <c r="B888" s="0" t="n">
        <v>35.757</v>
      </c>
      <c r="C888" s="0" t="n">
        <v>21.353</v>
      </c>
      <c r="D888" s="0" t="n">
        <v>13.791</v>
      </c>
      <c r="E888" s="0" t="n">
        <v>28.018</v>
      </c>
      <c r="F888" s="0" t="n">
        <v>0.2567</v>
      </c>
      <c r="G888" s="12" t="n">
        <f aca="false">(A888+(C888*D888*COS(RADIANS(E888))^2-F888*C888*D888)*TAN(RADIANS(B888)))/(C888*D888*SIN(RADIANS(E888))*COS(RADIANS(E888)))</f>
        <v>0.98310437569992</v>
      </c>
    </row>
    <row r="889" customFormat="false" ht="15" hidden="false" customHeight="false" outlineLevel="0" collapsed="false">
      <c r="A889" s="0" t="n">
        <v>14.766</v>
      </c>
      <c r="B889" s="0" t="n">
        <v>33.96</v>
      </c>
      <c r="C889" s="0" t="n">
        <v>21.272</v>
      </c>
      <c r="D889" s="0" t="n">
        <v>11.69</v>
      </c>
      <c r="E889" s="0" t="n">
        <v>26.359</v>
      </c>
      <c r="F889" s="0" t="n">
        <v>0.1211</v>
      </c>
      <c r="G889" s="12" t="n">
        <f aca="false">(A889+(C889*D889*COS(RADIANS(E889))^2-F889*C889*D889)*TAN(RADIANS(B889)))/(C889*D889*SIN(RADIANS(E889))*COS(RADIANS(E889)))</f>
        <v>1.30343226543761</v>
      </c>
    </row>
    <row r="890" customFormat="false" ht="15" hidden="false" customHeight="false" outlineLevel="0" collapsed="false">
      <c r="A890" s="0" t="n">
        <v>15.336</v>
      </c>
      <c r="B890" s="0" t="n">
        <v>31.92</v>
      </c>
      <c r="C890" s="0" t="n">
        <v>20.554</v>
      </c>
      <c r="D890" s="0" t="n">
        <v>15.828</v>
      </c>
      <c r="E890" s="0" t="n">
        <v>28.705</v>
      </c>
      <c r="F890" s="0" t="n">
        <v>0.1955</v>
      </c>
      <c r="G890" s="12" t="n">
        <f aca="false">(A890+(C890*D890*COS(RADIANS(E890))^2-F890*C890*D890)*TAN(RADIANS(B890)))/(C890*D890*SIN(RADIANS(E890))*COS(RADIANS(E890)))</f>
        <v>0.960384852590024</v>
      </c>
    </row>
    <row r="891" customFormat="false" ht="15" hidden="false" customHeight="false" outlineLevel="0" collapsed="false">
      <c r="A891" s="0" t="n">
        <v>12.226</v>
      </c>
      <c r="B891" s="0" t="n">
        <v>28.486</v>
      </c>
      <c r="C891" s="0" t="n">
        <v>20.084</v>
      </c>
      <c r="D891" s="0" t="n">
        <v>9.839</v>
      </c>
      <c r="E891" s="0" t="n">
        <v>26.305</v>
      </c>
      <c r="F891" s="0" t="n">
        <v>0.1782</v>
      </c>
      <c r="G891" s="12" t="n">
        <f aca="false">(A891+(C891*D891*COS(RADIANS(E891))^2-F891*C891*D891)*TAN(RADIANS(B891)))/(C891*D891*SIN(RADIANS(E891))*COS(RADIANS(E891)))</f>
        <v>1.01003593492277</v>
      </c>
    </row>
    <row r="892" customFormat="false" ht="15" hidden="false" customHeight="false" outlineLevel="0" collapsed="false">
      <c r="A892" s="0" t="n">
        <v>18.324</v>
      </c>
      <c r="B892" s="0" t="n">
        <v>34.115</v>
      </c>
      <c r="C892" s="0" t="n">
        <v>20.04</v>
      </c>
      <c r="D892" s="0" t="n">
        <v>15.136</v>
      </c>
      <c r="E892" s="0" t="n">
        <v>31.188</v>
      </c>
      <c r="F892" s="0" t="n">
        <v>0.0672</v>
      </c>
      <c r="G892" s="12" t="n">
        <f aca="false">(A892+(C892*D892*COS(RADIANS(E892))^2-F892*C892*D892)*TAN(RADIANS(B892)))/(C892*D892*SIN(RADIANS(E892))*COS(RADIANS(E892)))</f>
        <v>1.15270769914527</v>
      </c>
    </row>
    <row r="893" customFormat="false" ht="15" hidden="false" customHeight="false" outlineLevel="0" collapsed="false">
      <c r="A893" s="0" t="n">
        <v>9.631</v>
      </c>
      <c r="B893" s="0" t="n">
        <v>28.822</v>
      </c>
      <c r="C893" s="0" t="n">
        <v>20.12</v>
      </c>
      <c r="D893" s="0" t="n">
        <v>16.342</v>
      </c>
      <c r="E893" s="0" t="n">
        <v>31.468</v>
      </c>
      <c r="F893" s="0" t="n">
        <v>0.1561</v>
      </c>
      <c r="G893" s="12" t="n">
        <f aca="false">(A893+(C893*D893*COS(RADIANS(E893))^2-F893*C893*D893)*TAN(RADIANS(B893)))/(C893*D893*SIN(RADIANS(E893))*COS(RADIANS(E893)))</f>
        <v>0.771933288849212</v>
      </c>
    </row>
    <row r="894" customFormat="false" ht="15" hidden="false" customHeight="false" outlineLevel="0" collapsed="false">
      <c r="A894" s="0" t="n">
        <v>13.372</v>
      </c>
      <c r="B894" s="0" t="n">
        <v>34.544</v>
      </c>
      <c r="C894" s="0" t="n">
        <v>18.874</v>
      </c>
      <c r="D894" s="0" t="n">
        <v>10.824</v>
      </c>
      <c r="E894" s="0" t="n">
        <v>27.447</v>
      </c>
      <c r="F894" s="0" t="n">
        <v>0.3541</v>
      </c>
      <c r="G894" s="12" t="n">
        <f aca="false">(A894+(C894*D894*COS(RADIANS(E894))^2-F894*C894*D894)*TAN(RADIANS(B894)))/(C894*D894*SIN(RADIANS(E894))*COS(RADIANS(E894)))</f>
        <v>0.889497875928067</v>
      </c>
    </row>
    <row r="895" customFormat="false" ht="15" hidden="false" customHeight="false" outlineLevel="0" collapsed="false">
      <c r="A895" s="0" t="n">
        <v>12.661</v>
      </c>
      <c r="B895" s="0" t="n">
        <v>39.685</v>
      </c>
      <c r="C895" s="0" t="n">
        <v>20.103</v>
      </c>
      <c r="D895" s="0" t="n">
        <v>8.075</v>
      </c>
      <c r="E895" s="0" t="n">
        <v>25.873</v>
      </c>
      <c r="F895" s="0" t="n">
        <v>0.1817</v>
      </c>
      <c r="G895" s="12" t="n">
        <f aca="false">(A895+(C895*D895*COS(RADIANS(E895))^2-F895*C895*D895)*TAN(RADIANS(B895)))/(C895*D895*SIN(RADIANS(E895))*COS(RADIANS(E895)))</f>
        <v>1.52555306568443</v>
      </c>
    </row>
    <row r="896" customFormat="false" ht="15" hidden="false" customHeight="false" outlineLevel="0" collapsed="false">
      <c r="A896" s="0" t="n">
        <v>14.814</v>
      </c>
      <c r="B896" s="0" t="n">
        <v>34.788</v>
      </c>
      <c r="C896" s="0" t="n">
        <v>18.298</v>
      </c>
      <c r="D896" s="0" t="n">
        <v>13.679</v>
      </c>
      <c r="E896" s="0" t="n">
        <v>29.577</v>
      </c>
      <c r="F896" s="0" t="n">
        <v>0.165</v>
      </c>
      <c r="G896" s="12" t="n">
        <f aca="false">(A896+(C896*D896*COS(RADIANS(E896))^2-F896*C896*D896)*TAN(RADIANS(B896)))/(C896*D896*SIN(RADIANS(E896))*COS(RADIANS(E896)))</f>
        <v>1.09489885778813</v>
      </c>
    </row>
    <row r="897" customFormat="false" ht="15" hidden="false" customHeight="false" outlineLevel="0" collapsed="false">
      <c r="A897" s="0" t="n">
        <v>16.115</v>
      </c>
      <c r="B897" s="0" t="n">
        <v>32.17</v>
      </c>
      <c r="C897" s="0" t="n">
        <v>19.839</v>
      </c>
      <c r="D897" s="0" t="n">
        <v>18.288</v>
      </c>
      <c r="E897" s="0" t="n">
        <v>28.759</v>
      </c>
      <c r="F897" s="0" t="n">
        <v>0.1786</v>
      </c>
      <c r="G897" s="12" t="n">
        <f aca="false">(A897+(C897*D897*COS(RADIANS(E897))^2-F897*C897*D897)*TAN(RADIANS(B897)))/(C897*D897*SIN(RADIANS(E897))*COS(RADIANS(E897)))</f>
        <v>0.98505364818175</v>
      </c>
    </row>
    <row r="898" customFormat="false" ht="15" hidden="false" customHeight="false" outlineLevel="0" collapsed="false">
      <c r="A898" s="0" t="n">
        <v>10.968</v>
      </c>
      <c r="B898" s="0" t="n">
        <v>33.464</v>
      </c>
      <c r="C898" s="0" t="n">
        <v>19.695</v>
      </c>
      <c r="D898" s="0" t="n">
        <v>18.783</v>
      </c>
      <c r="E898" s="0" t="n">
        <v>28.19</v>
      </c>
      <c r="F898" s="0" t="n">
        <v>0.2029</v>
      </c>
      <c r="G898" s="12" t="n">
        <f aca="false">(A898+(C898*D898*COS(RADIANS(E898))^2-F898*C898*D898)*TAN(RADIANS(B898)))/(C898*D898*SIN(RADIANS(E898))*COS(RADIANS(E898)))</f>
        <v>0.982346476468302</v>
      </c>
    </row>
    <row r="899" customFormat="false" ht="15" hidden="false" customHeight="false" outlineLevel="0" collapsed="false">
      <c r="A899" s="0" t="n">
        <v>17.897</v>
      </c>
      <c r="B899" s="0" t="n">
        <v>32.556</v>
      </c>
      <c r="C899" s="0" t="n">
        <v>19.236</v>
      </c>
      <c r="D899" s="0" t="n">
        <v>16.355</v>
      </c>
      <c r="E899" s="0" t="n">
        <v>28.382</v>
      </c>
      <c r="F899" s="0" t="n">
        <v>0.0529</v>
      </c>
      <c r="G899" s="12" t="n">
        <f aca="false">(A899+(C899*D899*COS(RADIANS(E899))^2-F899*C899*D899)*TAN(RADIANS(B899)))/(C899*D899*SIN(RADIANS(E899))*COS(RADIANS(E899)))</f>
        <v>1.23693448932079</v>
      </c>
    </row>
    <row r="900" customFormat="false" ht="15" hidden="false" customHeight="false" outlineLevel="0" collapsed="false">
      <c r="A900" s="0" t="n">
        <v>15.252</v>
      </c>
      <c r="B900" s="0" t="n">
        <v>40.104</v>
      </c>
      <c r="C900" s="0" t="n">
        <v>19.769</v>
      </c>
      <c r="D900" s="0" t="n">
        <v>20.818</v>
      </c>
      <c r="E900" s="0" t="n">
        <v>24.453</v>
      </c>
      <c r="F900" s="0" t="n">
        <v>0.0411</v>
      </c>
      <c r="G900" s="12" t="n">
        <f aca="false">(A900+(C900*D900*COS(RADIANS(E900))^2-F900*C900*D900)*TAN(RADIANS(B900)))/(C900*D900*SIN(RADIANS(E900))*COS(RADIANS(E900)))</f>
        <v>1.85854819649076</v>
      </c>
    </row>
    <row r="901" customFormat="false" ht="15" hidden="false" customHeight="false" outlineLevel="0" collapsed="false">
      <c r="A901" s="0" t="n">
        <v>7.432</v>
      </c>
      <c r="B901" s="0" t="n">
        <v>33.03</v>
      </c>
      <c r="C901" s="0" t="n">
        <v>21.724</v>
      </c>
      <c r="D901" s="0" t="n">
        <v>13.108</v>
      </c>
      <c r="E901" s="0" t="n">
        <v>29.149</v>
      </c>
      <c r="F901" s="0" t="n">
        <v>0.0441</v>
      </c>
      <c r="G901" s="12" t="n">
        <f aca="false">(A901+(C901*D901*COS(RADIANS(E901))^2-F901*C901*D901)*TAN(RADIANS(B901)))/(C901*D901*SIN(RADIANS(E901))*COS(RADIANS(E901)))</f>
        <v>1.15969885662542</v>
      </c>
    </row>
    <row r="902" customFormat="false" ht="15" hidden="false" customHeight="false" outlineLevel="0" collapsed="false">
      <c r="A902" s="0" t="n">
        <v>7.166</v>
      </c>
      <c r="B902" s="0" t="n">
        <v>29.638</v>
      </c>
      <c r="C902" s="0" t="n">
        <v>19.2</v>
      </c>
      <c r="D902" s="0" t="n">
        <v>18.576</v>
      </c>
      <c r="E902" s="0" t="n">
        <v>27.735</v>
      </c>
      <c r="F902" s="0" t="n">
        <v>0.261</v>
      </c>
      <c r="G902" s="12" t="n">
        <f aca="false">(A902+(C902*D902*COS(RADIANS(E902))^2-F902*C902*D902)*TAN(RADIANS(B902)))/(C902*D902*SIN(RADIANS(E902))*COS(RADIANS(E902)))</f>
        <v>0.770367361219584</v>
      </c>
    </row>
    <row r="903" customFormat="false" ht="15" hidden="false" customHeight="false" outlineLevel="0" collapsed="false">
      <c r="A903" s="0" t="n">
        <v>14.951</v>
      </c>
      <c r="B903" s="0" t="n">
        <v>42.643</v>
      </c>
      <c r="C903" s="0" t="n">
        <v>20.288</v>
      </c>
      <c r="D903" s="0" t="n">
        <v>14.733</v>
      </c>
      <c r="E903" s="0" t="n">
        <v>25.654</v>
      </c>
      <c r="F903" s="0" t="n">
        <v>0.116</v>
      </c>
      <c r="G903" s="12" t="n">
        <f aca="false">(A903+(C903*D903*COS(RADIANS(E903))^2-F903*C903*D903)*TAN(RADIANS(B903)))/(C903*D903*SIN(RADIANS(E903))*COS(RADIANS(E903)))</f>
        <v>1.77192924101979</v>
      </c>
    </row>
    <row r="904" customFormat="false" ht="15" hidden="false" customHeight="false" outlineLevel="0" collapsed="false">
      <c r="A904" s="0" t="n">
        <v>14.116</v>
      </c>
      <c r="B904" s="0" t="n">
        <v>34.429</v>
      </c>
      <c r="C904" s="0" t="n">
        <v>20.637</v>
      </c>
      <c r="D904" s="0" t="n">
        <v>17.283</v>
      </c>
      <c r="E904" s="0" t="n">
        <v>29.637</v>
      </c>
      <c r="F904" s="0" t="n">
        <v>0.1967</v>
      </c>
      <c r="G904" s="12" t="n">
        <f aca="false">(A904+(C904*D904*COS(RADIANS(E904))^2-F904*C904*D904)*TAN(RADIANS(B904)))/(C904*D904*SIN(RADIANS(E904))*COS(RADIANS(E904)))</f>
        <v>0.983197258587535</v>
      </c>
    </row>
    <row r="905" customFormat="false" ht="15" hidden="false" customHeight="false" outlineLevel="0" collapsed="false">
      <c r="A905" s="0" t="n">
        <v>14.586</v>
      </c>
      <c r="B905" s="0" t="n">
        <v>32.361</v>
      </c>
      <c r="C905" s="0" t="n">
        <v>18.037</v>
      </c>
      <c r="D905" s="0" t="n">
        <v>15.955</v>
      </c>
      <c r="E905" s="0" t="n">
        <v>28.772</v>
      </c>
      <c r="F905" s="0" t="n">
        <v>0.1608</v>
      </c>
      <c r="G905" s="12" t="n">
        <f aca="false">(A905+(C905*D905*COS(RADIANS(E905))^2-F905*C905*D905)*TAN(RADIANS(B905)))/(C905*D905*SIN(RADIANS(E905))*COS(RADIANS(E905)))</f>
        <v>1.03259148780496</v>
      </c>
    </row>
    <row r="906" customFormat="false" ht="15" hidden="false" customHeight="false" outlineLevel="0" collapsed="false">
      <c r="A906" s="0" t="n">
        <v>14.888</v>
      </c>
      <c r="B906" s="0" t="n">
        <v>35.027</v>
      </c>
      <c r="C906" s="0" t="n">
        <v>20.779</v>
      </c>
      <c r="D906" s="0" t="n">
        <v>18.228</v>
      </c>
      <c r="E906" s="0" t="n">
        <v>29.118</v>
      </c>
      <c r="F906" s="0" t="n">
        <v>0.1372</v>
      </c>
      <c r="G906" s="12" t="n">
        <f aca="false">(A906+(C906*D906*COS(RADIANS(E906))^2-F906*C906*D906)*TAN(RADIANS(B906)))/(C906*D906*SIN(RADIANS(E906))*COS(RADIANS(E906)))</f>
        <v>1.12460895038367</v>
      </c>
    </row>
    <row r="907" customFormat="false" ht="15" hidden="false" customHeight="false" outlineLevel="0" collapsed="false">
      <c r="A907" s="0" t="n">
        <v>15.902</v>
      </c>
      <c r="B907" s="0" t="n">
        <v>34.29</v>
      </c>
      <c r="C907" s="0" t="n">
        <v>19.308</v>
      </c>
      <c r="D907" s="0" t="n">
        <v>10.299</v>
      </c>
      <c r="E907" s="0" t="n">
        <v>26.699</v>
      </c>
      <c r="F907" s="0" t="n">
        <v>0.2233</v>
      </c>
      <c r="G907" s="12" t="n">
        <f aca="false">(A907+(C907*D907*COS(RADIANS(E907))^2-F907*C907*D907)*TAN(RADIANS(B907)))/(C907*D907*SIN(RADIANS(E907))*COS(RADIANS(E907)))</f>
        <v>1.17574381853514</v>
      </c>
    </row>
    <row r="908" customFormat="false" ht="15" hidden="false" customHeight="false" outlineLevel="0" collapsed="false">
      <c r="A908" s="0" t="n">
        <v>18.791</v>
      </c>
      <c r="B908" s="0" t="n">
        <v>36.408</v>
      </c>
      <c r="C908" s="0" t="n">
        <v>19.107</v>
      </c>
      <c r="D908" s="0" t="n">
        <v>16.09</v>
      </c>
      <c r="E908" s="0" t="n">
        <v>29.698</v>
      </c>
      <c r="F908" s="0" t="n">
        <v>0.1397</v>
      </c>
      <c r="G908" s="12" t="n">
        <f aca="false">(A908+(C908*D908*COS(RADIANS(E908))^2-F908*C908*D908)*TAN(RADIANS(B908)))/(C908*D908*SIN(RADIANS(E908))*COS(RADIANS(E908)))</f>
        <v>1.19567387541124</v>
      </c>
    </row>
    <row r="909" customFormat="false" ht="15" hidden="false" customHeight="false" outlineLevel="0" collapsed="false">
      <c r="A909" s="0" t="n">
        <v>10.556</v>
      </c>
      <c r="B909" s="0" t="n">
        <v>34.512</v>
      </c>
      <c r="C909" s="0" t="n">
        <v>20.356</v>
      </c>
      <c r="D909" s="0" t="n">
        <v>18.588</v>
      </c>
      <c r="E909" s="0" t="n">
        <v>28.037</v>
      </c>
      <c r="F909" s="0" t="n">
        <v>0.0356</v>
      </c>
      <c r="G909" s="12" t="n">
        <f aca="false">(A909+(C909*D909*COS(RADIANS(E909))^2-F909*C909*D909)*TAN(RADIANS(B909)))/(C909*D909*SIN(RADIANS(E909))*COS(RADIANS(E909)))</f>
        <v>1.29939847469892</v>
      </c>
    </row>
    <row r="910" customFormat="false" ht="15" hidden="false" customHeight="false" outlineLevel="0" collapsed="false">
      <c r="A910" s="0" t="n">
        <v>10.312</v>
      </c>
      <c r="B910" s="0" t="n">
        <v>28.574</v>
      </c>
      <c r="C910" s="0" t="n">
        <v>20.392</v>
      </c>
      <c r="D910" s="0" t="n">
        <v>15.003</v>
      </c>
      <c r="E910" s="0" t="n">
        <v>26.009</v>
      </c>
      <c r="F910" s="0" t="n">
        <v>0.0897</v>
      </c>
      <c r="G910" s="12" t="n">
        <f aca="false">(A910+(C910*D910*COS(RADIANS(E910))^2-F910*C910*D910)*TAN(RADIANS(B910)))/(C910*D910*SIN(RADIANS(E910))*COS(RADIANS(E910)))</f>
        <v>1.077774986002</v>
      </c>
    </row>
    <row r="911" customFormat="false" ht="15" hidden="false" customHeight="false" outlineLevel="0" collapsed="false">
      <c r="A911" s="0" t="n">
        <v>10.627</v>
      </c>
      <c r="B911" s="0" t="n">
        <v>34.462</v>
      </c>
      <c r="C911" s="0" t="n">
        <v>21.183</v>
      </c>
      <c r="D911" s="0" t="n">
        <v>22.12</v>
      </c>
      <c r="E911" s="0" t="n">
        <v>28.558</v>
      </c>
      <c r="F911" s="0" t="n">
        <v>0.1085</v>
      </c>
      <c r="G911" s="12" t="n">
        <f aca="false">(A911+(C911*D911*COS(RADIANS(E911))^2-F911*C911*D911)*TAN(RADIANS(B911)))/(C911*D911*SIN(RADIANS(E911))*COS(RADIANS(E911)))</f>
        <v>1.13764108390423</v>
      </c>
    </row>
    <row r="912" customFormat="false" ht="15" hidden="false" customHeight="false" outlineLevel="0" collapsed="false">
      <c r="A912" s="0" t="n">
        <v>16.156</v>
      </c>
      <c r="B912" s="0" t="n">
        <v>37.658</v>
      </c>
      <c r="C912" s="0" t="n">
        <v>19.015</v>
      </c>
      <c r="D912" s="0" t="n">
        <v>12.261</v>
      </c>
      <c r="E912" s="0" t="n">
        <v>26.043</v>
      </c>
      <c r="F912" s="0" t="n">
        <v>0.1686</v>
      </c>
      <c r="G912" s="12" t="n">
        <f aca="false">(A912+(C912*D912*COS(RADIANS(E912))^2-F912*C912*D912)*TAN(RADIANS(B912)))/(C912*D912*SIN(RADIANS(E912))*COS(RADIANS(E912)))</f>
        <v>1.42507614626847</v>
      </c>
    </row>
    <row r="913" customFormat="false" ht="15" hidden="false" customHeight="false" outlineLevel="0" collapsed="false">
      <c r="A913" s="0" t="n">
        <v>19.98</v>
      </c>
      <c r="B913" s="0" t="n">
        <v>33.387</v>
      </c>
      <c r="C913" s="0" t="n">
        <v>18.95</v>
      </c>
      <c r="D913" s="0" t="n">
        <v>8.003</v>
      </c>
      <c r="E913" s="0" t="n">
        <v>27.957</v>
      </c>
      <c r="F913" s="0" t="n">
        <v>0.2188</v>
      </c>
      <c r="G913" s="12" t="n">
        <f aca="false">(A913+(C913*D913*COS(RADIANS(E913))^2-F913*C913*D913)*TAN(RADIANS(B913)))/(C913*D913*SIN(RADIANS(E913))*COS(RADIANS(E913)))</f>
        <v>1.2116659407691</v>
      </c>
    </row>
    <row r="914" customFormat="false" ht="15" hidden="false" customHeight="false" outlineLevel="0" collapsed="false">
      <c r="A914" s="0" t="n">
        <v>13.275</v>
      </c>
      <c r="B914" s="0" t="n">
        <v>37.184</v>
      </c>
      <c r="C914" s="0" t="n">
        <v>19.492</v>
      </c>
      <c r="D914" s="0" t="n">
        <v>10.64</v>
      </c>
      <c r="E914" s="0" t="n">
        <v>29.565</v>
      </c>
      <c r="F914" s="0" t="n">
        <v>0.2738</v>
      </c>
      <c r="G914" s="12" t="n">
        <f aca="false">(A914+(C914*D914*COS(RADIANS(E914))^2-F914*C914*D914)*TAN(RADIANS(B914)))/(C914*D914*SIN(RADIANS(E914))*COS(RADIANS(E914)))</f>
        <v>1.00245400922209</v>
      </c>
    </row>
    <row r="915" customFormat="false" ht="15" hidden="false" customHeight="false" outlineLevel="0" collapsed="false">
      <c r="A915" s="0" t="n">
        <v>4.993</v>
      </c>
      <c r="B915" s="0" t="n">
        <v>37.833</v>
      </c>
      <c r="C915" s="0" t="n">
        <v>20.815</v>
      </c>
      <c r="D915" s="0" t="n">
        <v>13.53</v>
      </c>
      <c r="E915" s="0" t="n">
        <v>29.457</v>
      </c>
      <c r="F915" s="0" t="n">
        <v>0.1705</v>
      </c>
      <c r="G915" s="12" t="n">
        <f aca="false">(A915+(C915*D915*COS(RADIANS(E915))^2-F915*C915*D915)*TAN(RADIANS(B915)))/(C915*D915*SIN(RADIANS(E915))*COS(RADIANS(E915)))</f>
        <v>1.10722237226241</v>
      </c>
    </row>
    <row r="916" customFormat="false" ht="15" hidden="false" customHeight="false" outlineLevel="0" collapsed="false">
      <c r="A916" s="0" t="n">
        <v>8.184</v>
      </c>
      <c r="B916" s="0" t="n">
        <v>38.538</v>
      </c>
      <c r="C916" s="0" t="n">
        <v>19.714</v>
      </c>
      <c r="D916" s="0" t="n">
        <v>15.188</v>
      </c>
      <c r="E916" s="0" t="n">
        <v>25.222</v>
      </c>
      <c r="F916" s="0" t="n">
        <v>0.0763</v>
      </c>
      <c r="G916" s="12" t="n">
        <f aca="false">(A916+(C916*D916*COS(RADIANS(E916))^2-F916*C916*D916)*TAN(RADIANS(B916)))/(C916*D916*SIN(RADIANS(E916))*COS(RADIANS(E916)))</f>
        <v>1.60425668738902</v>
      </c>
    </row>
    <row r="917" customFormat="false" ht="15" hidden="false" customHeight="false" outlineLevel="0" collapsed="false">
      <c r="A917" s="0" t="n">
        <v>11.668</v>
      </c>
      <c r="B917" s="0" t="n">
        <v>31.89</v>
      </c>
      <c r="C917" s="0" t="n">
        <v>17.507</v>
      </c>
      <c r="D917" s="0" t="n">
        <v>13.416</v>
      </c>
      <c r="E917" s="0" t="n">
        <v>29.274</v>
      </c>
      <c r="F917" s="0" t="n">
        <v>0.0986</v>
      </c>
      <c r="G917" s="12" t="n">
        <f aca="false">(A917+(C917*D917*COS(RADIANS(E917))^2-F917*C917*D917)*TAN(RADIANS(B917)))/(C917*D917*SIN(RADIANS(E917))*COS(RADIANS(E917)))</f>
        <v>1.08256939265743</v>
      </c>
    </row>
    <row r="918" customFormat="false" ht="15" hidden="false" customHeight="false" outlineLevel="0" collapsed="false">
      <c r="A918" s="0" t="n">
        <v>12.769</v>
      </c>
      <c r="B918" s="0" t="n">
        <v>32.2</v>
      </c>
      <c r="C918" s="0" t="n">
        <v>19.761</v>
      </c>
      <c r="D918" s="0" t="n">
        <v>13.294</v>
      </c>
      <c r="E918" s="0" t="n">
        <v>24.421</v>
      </c>
      <c r="F918" s="0" t="n">
        <v>0.1234</v>
      </c>
      <c r="G918" s="12" t="n">
        <f aca="false">(A918+(C918*D918*COS(RADIANS(E918))^2-F918*C918*D918)*TAN(RADIANS(B918)))/(C918*D918*SIN(RADIANS(E918))*COS(RADIANS(E918)))</f>
        <v>1.30957969315233</v>
      </c>
    </row>
    <row r="919" customFormat="false" ht="15" hidden="false" customHeight="false" outlineLevel="0" collapsed="false">
      <c r="A919" s="0" t="n">
        <v>13.366</v>
      </c>
      <c r="B919" s="0" t="n">
        <v>35.066</v>
      </c>
      <c r="C919" s="0" t="n">
        <v>19.706</v>
      </c>
      <c r="D919" s="0" t="n">
        <v>14.938</v>
      </c>
      <c r="E919" s="0" t="n">
        <v>27.096</v>
      </c>
      <c r="F919" s="0" t="n">
        <v>0.1647</v>
      </c>
      <c r="G919" s="12" t="n">
        <f aca="false">(A919+(C919*D919*COS(RADIANS(E919))^2-F919*C919*D919)*TAN(RADIANS(B919)))/(C919*D919*SIN(RADIANS(E919))*COS(RADIANS(E919)))</f>
        <v>1.19879214252383</v>
      </c>
    </row>
    <row r="920" customFormat="false" ht="15" hidden="false" customHeight="false" outlineLevel="0" collapsed="false">
      <c r="A920" s="0" t="n">
        <v>15.154</v>
      </c>
      <c r="B920" s="0" t="n">
        <v>29.557</v>
      </c>
      <c r="C920" s="0" t="n">
        <v>19.131</v>
      </c>
      <c r="D920" s="0" t="n">
        <v>16.853</v>
      </c>
      <c r="E920" s="0" t="n">
        <v>30.151</v>
      </c>
      <c r="F920" s="0" t="n">
        <v>0.2531</v>
      </c>
      <c r="G920" s="12" t="n">
        <f aca="false">(A920+(C920*D920*COS(RADIANS(E920))^2-F920*C920*D920)*TAN(RADIANS(B920)))/(C920*D920*SIN(RADIANS(E920))*COS(RADIANS(E920)))</f>
        <v>0.754023351074711</v>
      </c>
    </row>
    <row r="921" customFormat="false" ht="15" hidden="false" customHeight="false" outlineLevel="0" collapsed="false">
      <c r="A921" s="0" t="n">
        <v>13.753</v>
      </c>
      <c r="B921" s="0" t="n">
        <v>31.759</v>
      </c>
      <c r="C921" s="0" t="n">
        <v>20.498</v>
      </c>
      <c r="D921" s="0" t="n">
        <v>11.626</v>
      </c>
      <c r="E921" s="0" t="n">
        <v>29.294</v>
      </c>
      <c r="F921" s="0" t="n">
        <v>0.2043</v>
      </c>
      <c r="G921" s="12" t="n">
        <f aca="false">(A921+(C921*D921*COS(RADIANS(E921))^2-F921*C921*D921)*TAN(RADIANS(B921)))/(C921*D921*SIN(RADIANS(E921))*COS(RADIANS(E921)))</f>
        <v>0.942247781804474</v>
      </c>
    </row>
    <row r="922" customFormat="false" ht="15" hidden="false" customHeight="false" outlineLevel="0" collapsed="false">
      <c r="A922" s="0" t="n">
        <v>19.197</v>
      </c>
      <c r="B922" s="0" t="n">
        <v>35.893</v>
      </c>
      <c r="C922" s="0" t="n">
        <v>20.238</v>
      </c>
      <c r="D922" s="0" t="n">
        <v>13.639</v>
      </c>
      <c r="E922" s="0" t="n">
        <v>25.447</v>
      </c>
      <c r="F922" s="0" t="n">
        <v>0.0589</v>
      </c>
      <c r="G922" s="12" t="n">
        <f aca="false">(A922+(C922*D922*COS(RADIANS(E922))^2-F922*C922*D922)*TAN(RADIANS(B922)))/(C922*D922*SIN(RADIANS(E922))*COS(RADIANS(E922)))</f>
        <v>1.59026208906215</v>
      </c>
    </row>
    <row r="923" customFormat="false" ht="15" hidden="false" customHeight="false" outlineLevel="0" collapsed="false">
      <c r="A923" s="0" t="n">
        <v>12.296</v>
      </c>
      <c r="B923" s="0" t="n">
        <v>28.746</v>
      </c>
      <c r="C923" s="0" t="n">
        <v>20.241</v>
      </c>
      <c r="D923" s="0" t="n">
        <v>17.871</v>
      </c>
      <c r="E923" s="0" t="n">
        <v>28.05</v>
      </c>
      <c r="F923" s="0" t="n">
        <v>0.0249</v>
      </c>
      <c r="G923" s="12" t="n">
        <f aca="false">(A923+(C923*D923*COS(RADIANS(E923))^2-F923*C923*D923)*TAN(RADIANS(B923)))/(C923*D923*SIN(RADIANS(E923))*COS(RADIANS(E923)))</f>
        <v>1.07846000105065</v>
      </c>
    </row>
    <row r="924" customFormat="false" ht="15" hidden="false" customHeight="false" outlineLevel="0" collapsed="false">
      <c r="A924" s="0" t="n">
        <v>11.551</v>
      </c>
      <c r="B924" s="0" t="n">
        <v>29.615</v>
      </c>
      <c r="C924" s="0" t="n">
        <v>19.467</v>
      </c>
      <c r="D924" s="0" t="n">
        <v>9.406</v>
      </c>
      <c r="E924" s="0" t="n">
        <v>26.4</v>
      </c>
      <c r="F924" s="0" t="n">
        <v>0.0899</v>
      </c>
      <c r="G924" s="12" t="n">
        <f aca="false">(A924+(C924*D924*COS(RADIANS(E924))^2-F924*C924*D924)*TAN(RADIANS(B924)))/(C924*D924*SIN(RADIANS(E924))*COS(RADIANS(E924)))</f>
        <v>1.17517111478715</v>
      </c>
    </row>
    <row r="925" customFormat="false" ht="15" hidden="false" customHeight="false" outlineLevel="0" collapsed="false">
      <c r="A925" s="0" t="n">
        <v>16.916</v>
      </c>
      <c r="B925" s="0" t="n">
        <v>36.529</v>
      </c>
      <c r="C925" s="0" t="n">
        <v>19.32</v>
      </c>
      <c r="D925" s="0" t="n">
        <v>13.635</v>
      </c>
      <c r="E925" s="0" t="n">
        <v>28.962</v>
      </c>
      <c r="F925" s="0" t="n">
        <v>0.2979</v>
      </c>
      <c r="G925" s="12" t="n">
        <f aca="false">(A925+(C925*D925*COS(RADIANS(E925))^2-F925*C925*D925)*TAN(RADIANS(B925)))/(C925*D925*SIN(RADIANS(E925))*COS(RADIANS(E925)))</f>
        <v>0.969153045113868</v>
      </c>
    </row>
    <row r="926" customFormat="false" ht="15" hidden="false" customHeight="false" outlineLevel="0" collapsed="false">
      <c r="A926" s="0" t="n">
        <v>8.857</v>
      </c>
      <c r="B926" s="0" t="n">
        <v>30.136</v>
      </c>
      <c r="C926" s="0" t="n">
        <v>18.859</v>
      </c>
      <c r="D926" s="0" t="n">
        <v>14.248</v>
      </c>
      <c r="E926" s="0" t="n">
        <v>24.921</v>
      </c>
      <c r="F926" s="0" t="n">
        <v>0.1555</v>
      </c>
      <c r="G926" s="12" t="n">
        <f aca="false">(A926+(C926*D926*COS(RADIANS(E926))^2-F926*C926*D926)*TAN(RADIANS(B926)))/(C926*D926*SIN(RADIANS(E926))*COS(RADIANS(E926)))</f>
        <v>1.09945277231576</v>
      </c>
    </row>
    <row r="927" customFormat="false" ht="15" hidden="false" customHeight="false" outlineLevel="0" collapsed="false">
      <c r="A927" s="0" t="n">
        <v>16.559</v>
      </c>
      <c r="B927" s="0" t="n">
        <v>43.072</v>
      </c>
      <c r="C927" s="0" t="n">
        <v>20.354</v>
      </c>
      <c r="D927" s="0" t="n">
        <v>13.275</v>
      </c>
      <c r="E927" s="0" t="n">
        <v>30.981</v>
      </c>
      <c r="F927" s="0" t="n">
        <v>0.0572</v>
      </c>
      <c r="G927" s="12" t="n">
        <f aca="false">(A927+(C927*D927*COS(RADIANS(E927))^2-F927*C927*D927)*TAN(RADIANS(B927)))/(C927*D927*SIN(RADIANS(E927))*COS(RADIANS(E927)))</f>
        <v>1.57474663092123</v>
      </c>
    </row>
    <row r="928" customFormat="false" ht="15" hidden="false" customHeight="false" outlineLevel="0" collapsed="false">
      <c r="A928" s="0" t="n">
        <v>15.41</v>
      </c>
      <c r="B928" s="0" t="n">
        <v>31.941</v>
      </c>
      <c r="C928" s="0" t="n">
        <v>20.983</v>
      </c>
      <c r="D928" s="0" t="n">
        <v>11.202</v>
      </c>
      <c r="E928" s="0" t="n">
        <v>25.096</v>
      </c>
      <c r="F928" s="0" t="n">
        <v>0.2451</v>
      </c>
      <c r="G928" s="12" t="n">
        <f aca="false">(A928+(C928*D928*COS(RADIANS(E928))^2-F928*C928*D928)*TAN(RADIANS(B928)))/(C928*D928*SIN(RADIANS(E928))*COS(RADIANS(E928)))</f>
        <v>1.10399821812895</v>
      </c>
    </row>
    <row r="929" customFormat="false" ht="15" hidden="false" customHeight="false" outlineLevel="0" collapsed="false">
      <c r="A929" s="0" t="n">
        <v>14.41</v>
      </c>
      <c r="B929" s="0" t="n">
        <v>31.749</v>
      </c>
      <c r="C929" s="0" t="n">
        <v>20.481</v>
      </c>
      <c r="D929" s="0" t="n">
        <v>7.193</v>
      </c>
      <c r="E929" s="0" t="n">
        <v>30.705</v>
      </c>
      <c r="F929" s="0" t="n">
        <v>0.1765</v>
      </c>
      <c r="G929" s="12" t="n">
        <f aca="false">(A929+(C929*D929*COS(RADIANS(E929))^2-F929*C929*D929)*TAN(RADIANS(B929)))/(C929*D929*SIN(RADIANS(E929))*COS(RADIANS(E929)))</f>
        <v>1.01598915027272</v>
      </c>
    </row>
    <row r="930" customFormat="false" ht="15" hidden="false" customHeight="false" outlineLevel="0" collapsed="false">
      <c r="A930" s="0" t="n">
        <v>21.353</v>
      </c>
      <c r="B930" s="0" t="n">
        <v>30.741</v>
      </c>
      <c r="C930" s="0" t="n">
        <v>19.664</v>
      </c>
      <c r="D930" s="0" t="n">
        <v>13.888</v>
      </c>
      <c r="E930" s="0" t="n">
        <v>30.078</v>
      </c>
      <c r="F930" s="0" t="n">
        <v>0.058</v>
      </c>
      <c r="G930" s="12" t="n">
        <f aca="false">(A930+(C930*D930*COS(RADIANS(E930))^2-F930*C930*D930)*TAN(RADIANS(B930)))/(C930*D930*SIN(RADIANS(E930))*COS(RADIANS(E930)))</f>
        <v>1.12761457360167</v>
      </c>
    </row>
    <row r="931" customFormat="false" ht="15" hidden="false" customHeight="false" outlineLevel="0" collapsed="false">
      <c r="A931" s="0" t="n">
        <v>12.511</v>
      </c>
      <c r="B931" s="0" t="n">
        <v>34.886</v>
      </c>
      <c r="C931" s="0" t="n">
        <v>19.865</v>
      </c>
      <c r="D931" s="0" t="n">
        <v>15.274</v>
      </c>
      <c r="E931" s="0" t="n">
        <v>30.344</v>
      </c>
      <c r="F931" s="0" t="n">
        <v>0.0173</v>
      </c>
      <c r="G931" s="12" t="n">
        <f aca="false">(A931+(C931*D931*COS(RADIANS(E931))^2-F931*C931*D931)*TAN(RADIANS(B931)))/(C931*D931*SIN(RADIANS(E931))*COS(RADIANS(E931)))</f>
        <v>1.25800249082338</v>
      </c>
    </row>
    <row r="932" customFormat="false" ht="15" hidden="false" customHeight="false" outlineLevel="0" collapsed="false">
      <c r="A932" s="0" t="n">
        <v>23.241</v>
      </c>
      <c r="B932" s="0" t="n">
        <v>34.339</v>
      </c>
      <c r="C932" s="0" t="n">
        <v>19.688</v>
      </c>
      <c r="D932" s="0" t="n">
        <v>16.05</v>
      </c>
      <c r="E932" s="0" t="n">
        <v>28.166</v>
      </c>
      <c r="F932" s="0" t="n">
        <v>0.1207</v>
      </c>
      <c r="G932" s="12" t="n">
        <f aca="false">(A932+(C932*D932*COS(RADIANS(E932))^2-F932*C932*D932)*TAN(RADIANS(B932)))/(C932*D932*SIN(RADIANS(E932))*COS(RADIANS(E932)))</f>
        <v>1.25448517623999</v>
      </c>
    </row>
    <row r="933" customFormat="false" ht="15" hidden="false" customHeight="false" outlineLevel="0" collapsed="false">
      <c r="A933" s="0" t="n">
        <v>14.098</v>
      </c>
      <c r="B933" s="0" t="n">
        <v>36.105</v>
      </c>
      <c r="C933" s="0" t="n">
        <v>20.341</v>
      </c>
      <c r="D933" s="0" t="n">
        <v>11.04</v>
      </c>
      <c r="E933" s="0" t="n">
        <v>29.867</v>
      </c>
      <c r="F933" s="0" t="n">
        <v>0.1246</v>
      </c>
      <c r="G933" s="12" t="n">
        <f aca="false">(A933+(C933*D933*COS(RADIANS(E933))^2-F933*C933*D933)*TAN(RADIANS(B933)))/(C933*D933*SIN(RADIANS(E933))*COS(RADIANS(E933)))</f>
        <v>1.20500115028429</v>
      </c>
    </row>
    <row r="934" customFormat="false" ht="15" hidden="false" customHeight="false" outlineLevel="0" collapsed="false">
      <c r="A934" s="0" t="n">
        <v>9.892</v>
      </c>
      <c r="B934" s="0" t="n">
        <v>34.191</v>
      </c>
      <c r="C934" s="0" t="n">
        <v>20.16</v>
      </c>
      <c r="D934" s="0" t="n">
        <v>17.085</v>
      </c>
      <c r="E934" s="0" t="n">
        <v>30.148</v>
      </c>
      <c r="F934" s="0" t="n">
        <v>0.2618</v>
      </c>
      <c r="G934" s="12" t="n">
        <f aca="false">(A934+(C934*D934*COS(RADIANS(E934))^2-F934*C934*D934)*TAN(RADIANS(B934)))/(C934*D934*SIN(RADIANS(E934))*COS(RADIANS(E934)))</f>
        <v>0.82631164537965</v>
      </c>
    </row>
    <row r="935" customFormat="false" ht="15" hidden="false" customHeight="false" outlineLevel="0" collapsed="false">
      <c r="A935" s="0" t="n">
        <v>15.28</v>
      </c>
      <c r="B935" s="0" t="n">
        <v>37.703</v>
      </c>
      <c r="C935" s="0" t="n">
        <v>20.6</v>
      </c>
      <c r="D935" s="0" t="n">
        <v>18.66</v>
      </c>
      <c r="E935" s="0" t="n">
        <v>28.197</v>
      </c>
      <c r="F935" s="0" t="n">
        <v>0.1121</v>
      </c>
      <c r="G935" s="12" t="n">
        <f aca="false">(A935+(C935*D935*COS(RADIANS(E935))^2-F935*C935*D935)*TAN(RADIANS(B935)))/(C935*D935*SIN(RADIANS(E935))*COS(RADIANS(E935)))</f>
        <v>1.32914481174361</v>
      </c>
    </row>
    <row r="936" customFormat="false" ht="15" hidden="false" customHeight="false" outlineLevel="0" collapsed="false">
      <c r="A936" s="0" t="n">
        <v>10.695</v>
      </c>
      <c r="B936" s="0" t="n">
        <v>34.24</v>
      </c>
      <c r="C936" s="0" t="n">
        <v>21.064</v>
      </c>
      <c r="D936" s="0" t="n">
        <v>19.006</v>
      </c>
      <c r="E936" s="0" t="n">
        <v>29.588</v>
      </c>
      <c r="F936" s="0" t="n">
        <v>0.1532</v>
      </c>
      <c r="G936" s="12" t="n">
        <f aca="false">(A936+(C936*D936*COS(RADIANS(E936))^2-F936*C936*D936)*TAN(RADIANS(B936)))/(C936*D936*SIN(RADIANS(E936))*COS(RADIANS(E936)))</f>
        <v>1.01806572247102</v>
      </c>
    </row>
    <row r="937" customFormat="false" ht="15" hidden="false" customHeight="false" outlineLevel="0" collapsed="false">
      <c r="A937" s="0" t="n">
        <v>11.993</v>
      </c>
      <c r="B937" s="0" t="n">
        <v>33.812</v>
      </c>
      <c r="C937" s="0" t="n">
        <v>19.827</v>
      </c>
      <c r="D937" s="0" t="n">
        <v>16.486</v>
      </c>
      <c r="E937" s="0" t="n">
        <v>28.158</v>
      </c>
      <c r="F937" s="0" t="n">
        <v>0.2681</v>
      </c>
      <c r="G937" s="12" t="n">
        <f aca="false">(A937+(C937*D937*COS(RADIANS(E937))^2-F937*C937*D937)*TAN(RADIANS(B937)))/(C937*D937*SIN(RADIANS(E937))*COS(RADIANS(E937)))</f>
        <v>0.907883084676547</v>
      </c>
    </row>
    <row r="938" customFormat="false" ht="15" hidden="false" customHeight="false" outlineLevel="0" collapsed="false">
      <c r="A938" s="0" t="n">
        <v>16.588</v>
      </c>
      <c r="B938" s="0" t="n">
        <v>35.619</v>
      </c>
      <c r="C938" s="0" t="n">
        <v>19.336</v>
      </c>
      <c r="D938" s="0" t="n">
        <v>16.011</v>
      </c>
      <c r="E938" s="0" t="n">
        <v>28.591</v>
      </c>
      <c r="F938" s="0" t="n">
        <v>0.2</v>
      </c>
      <c r="G938" s="12" t="n">
        <f aca="false">(A938+(C938*D938*COS(RADIANS(E938))^2-F938*C938*D938)*TAN(RADIANS(B938)))/(C938*D938*SIN(RADIANS(E938))*COS(RADIANS(E938)))</f>
        <v>1.10103556141357</v>
      </c>
    </row>
    <row r="939" customFormat="false" ht="15" hidden="false" customHeight="false" outlineLevel="0" collapsed="false">
      <c r="A939" s="0" t="n">
        <v>17.222</v>
      </c>
      <c r="B939" s="0" t="n">
        <v>29.053</v>
      </c>
      <c r="C939" s="0" t="n">
        <v>17.732</v>
      </c>
      <c r="D939" s="0" t="n">
        <v>20</v>
      </c>
      <c r="E939" s="0" t="n">
        <v>29.447</v>
      </c>
      <c r="F939" s="0" t="n">
        <v>0.1683</v>
      </c>
      <c r="G939" s="12" t="n">
        <f aca="false">(A939+(C939*D939*COS(RADIANS(E939))^2-F939*C939*D939)*TAN(RADIANS(B939)))/(C939*D939*SIN(RADIANS(E939))*COS(RADIANS(E939)))</f>
        <v>0.879044059308248</v>
      </c>
    </row>
    <row r="940" customFormat="false" ht="15" hidden="false" customHeight="false" outlineLevel="0" collapsed="false">
      <c r="A940" s="0" t="n">
        <v>12.511</v>
      </c>
      <c r="B940" s="0" t="n">
        <v>31.569</v>
      </c>
      <c r="C940" s="0" t="n">
        <v>20.768</v>
      </c>
      <c r="D940" s="0" t="n">
        <v>18.34</v>
      </c>
      <c r="E940" s="0" t="n">
        <v>26.664</v>
      </c>
      <c r="F940" s="0" t="n">
        <v>0</v>
      </c>
      <c r="G940" s="12" t="n">
        <f aca="false">(A940+(C940*D940*COS(RADIANS(E940))^2-F940*C940*D940)*TAN(RADIANS(B940)))/(C940*D940*SIN(RADIANS(E940))*COS(RADIANS(E940)))</f>
        <v>1.30553576147939</v>
      </c>
    </row>
    <row r="941" customFormat="false" ht="15" hidden="false" customHeight="false" outlineLevel="0" collapsed="false">
      <c r="A941" s="0" t="n">
        <v>18.95</v>
      </c>
      <c r="B941" s="0" t="n">
        <v>40.042</v>
      </c>
      <c r="C941" s="0" t="n">
        <v>18.989</v>
      </c>
      <c r="D941" s="0" t="n">
        <v>12.065</v>
      </c>
      <c r="E941" s="0" t="n">
        <v>29.049</v>
      </c>
      <c r="F941" s="0" t="n">
        <v>0.1986</v>
      </c>
      <c r="G941" s="12" t="n">
        <f aca="false">(A941+(C941*D941*COS(RADIANS(E941))^2-F941*C941*D941)*TAN(RADIANS(B941)))/(C941*D941*SIN(RADIANS(E941))*COS(RADIANS(E941)))</f>
        <v>1.31466467373351</v>
      </c>
    </row>
    <row r="942" customFormat="false" ht="15" hidden="false" customHeight="false" outlineLevel="0" collapsed="false">
      <c r="A942" s="0" t="n">
        <v>19.63</v>
      </c>
      <c r="B942" s="0" t="n">
        <v>29.587</v>
      </c>
      <c r="C942" s="0" t="n">
        <v>19.865</v>
      </c>
      <c r="D942" s="0" t="n">
        <v>13.275</v>
      </c>
      <c r="E942" s="0" t="n">
        <v>29.208</v>
      </c>
      <c r="F942" s="0" t="n">
        <v>0.1242</v>
      </c>
      <c r="G942" s="12" t="n">
        <f aca="false">(A942+(C942*D942*COS(RADIANS(E942))^2-F942*C942*D942)*TAN(RADIANS(B942)))/(C942*D942*SIN(RADIANS(E942))*COS(RADIANS(E942)))</f>
        <v>1.02479178002943</v>
      </c>
    </row>
    <row r="943" customFormat="false" ht="15" hidden="false" customHeight="false" outlineLevel="0" collapsed="false">
      <c r="A943" s="0" t="n">
        <v>20.745</v>
      </c>
      <c r="B943" s="0" t="n">
        <v>37.58</v>
      </c>
      <c r="C943" s="0" t="n">
        <v>19.782</v>
      </c>
      <c r="D943" s="0" t="n">
        <v>14.221</v>
      </c>
      <c r="E943" s="0" t="n">
        <v>29.378</v>
      </c>
      <c r="F943" s="0" t="n">
        <v>0.1579</v>
      </c>
      <c r="G943" s="12" t="n">
        <f aca="false">(A943+(C943*D943*COS(RADIANS(E943))^2-F943*C943*D943)*TAN(RADIANS(B943)))/(C943*D943*SIN(RADIANS(E943))*COS(RADIANS(E943)))</f>
        <v>1.25520734123974</v>
      </c>
    </row>
    <row r="944" customFormat="false" ht="15" hidden="false" customHeight="false" outlineLevel="0" collapsed="false">
      <c r="A944" s="0" t="n">
        <v>17.118</v>
      </c>
      <c r="B944" s="0" t="n">
        <v>27.757</v>
      </c>
      <c r="C944" s="0" t="n">
        <v>17.322</v>
      </c>
      <c r="D944" s="0" t="n">
        <v>11.135</v>
      </c>
      <c r="E944" s="0" t="n">
        <v>29.038</v>
      </c>
      <c r="F944" s="0" t="n">
        <v>0.2016</v>
      </c>
      <c r="G944" s="12" t="n">
        <f aca="false">(A944+(C944*D944*COS(RADIANS(E944))^2-F944*C944*D944)*TAN(RADIANS(B944)))/(C944*D944*SIN(RADIANS(E944))*COS(RADIANS(E944)))</f>
        <v>0.907072152202805</v>
      </c>
    </row>
    <row r="945" customFormat="false" ht="15" hidden="false" customHeight="false" outlineLevel="0" collapsed="false">
      <c r="A945" s="0" t="n">
        <v>20.454</v>
      </c>
      <c r="B945" s="0" t="n">
        <v>30.093</v>
      </c>
      <c r="C945" s="0" t="n">
        <v>20.954</v>
      </c>
      <c r="D945" s="0" t="n">
        <v>10.849</v>
      </c>
      <c r="E945" s="0" t="n">
        <v>31.784</v>
      </c>
      <c r="F945" s="0" t="n">
        <v>0.1105</v>
      </c>
      <c r="G945" s="12" t="n">
        <f aca="false">(A945+(C945*D945*COS(RADIANS(E945))^2-F945*C945*D945)*TAN(RADIANS(B945)))/(C945*D945*SIN(RADIANS(E945))*COS(RADIANS(E945)))</f>
        <v>0.993180359647582</v>
      </c>
    </row>
    <row r="946" customFormat="false" ht="15" hidden="false" customHeight="false" outlineLevel="0" collapsed="false">
      <c r="A946" s="0" t="n">
        <v>7.477</v>
      </c>
      <c r="B946" s="0" t="n">
        <v>32.566</v>
      </c>
      <c r="C946" s="0" t="n">
        <v>21.048</v>
      </c>
      <c r="D946" s="0" t="n">
        <v>14.574</v>
      </c>
      <c r="E946" s="0" t="n">
        <v>29.387</v>
      </c>
      <c r="F946" s="0" t="n">
        <v>0.2318</v>
      </c>
      <c r="G946" s="12" t="n">
        <f aca="false">(A946+(C946*D946*COS(RADIANS(E946))^2-F946*C946*D946)*TAN(RADIANS(B946)))/(C946*D946*SIN(RADIANS(E946))*COS(RADIANS(E946)))</f>
        <v>0.844843224302295</v>
      </c>
    </row>
    <row r="947" customFormat="false" ht="15" hidden="false" customHeight="false" outlineLevel="0" collapsed="false">
      <c r="A947" s="0" t="n">
        <v>13.728</v>
      </c>
      <c r="B947" s="0" t="n">
        <v>36.195</v>
      </c>
      <c r="C947" s="0" t="n">
        <v>20.177</v>
      </c>
      <c r="D947" s="0" t="n">
        <v>15.328</v>
      </c>
      <c r="E947" s="0" t="n">
        <v>27.849</v>
      </c>
      <c r="F947" s="0" t="n">
        <v>0.2104</v>
      </c>
      <c r="G947" s="12" t="n">
        <f aca="false">(A947+(C947*D947*COS(RADIANS(E947))^2-F947*C947*D947)*TAN(RADIANS(B947)))/(C947*D947*SIN(RADIANS(E947))*COS(RADIANS(E947)))</f>
        <v>1.11973957918964</v>
      </c>
    </row>
    <row r="948" customFormat="false" ht="15" hidden="false" customHeight="false" outlineLevel="0" collapsed="false">
      <c r="A948" s="0" t="n">
        <v>11.532</v>
      </c>
      <c r="B948" s="0" t="n">
        <v>34.465</v>
      </c>
      <c r="C948" s="0" t="n">
        <v>18.755</v>
      </c>
      <c r="D948" s="0" t="n">
        <v>14.084</v>
      </c>
      <c r="E948" s="0" t="n">
        <v>31.552</v>
      </c>
      <c r="F948" s="0" t="n">
        <v>0.2138</v>
      </c>
      <c r="G948" s="12" t="n">
        <f aca="false">(A948+(C948*D948*COS(RADIANS(E948))^2-F948*C948*D948)*TAN(RADIANS(B948)))/(C948*D948*SIN(RADIANS(E948))*COS(RADIANS(E948)))</f>
        <v>0.886605757592612</v>
      </c>
    </row>
    <row r="949" customFormat="false" ht="15" hidden="false" customHeight="false" outlineLevel="0" collapsed="false">
      <c r="A949" s="0" t="n">
        <v>15.477</v>
      </c>
      <c r="B949" s="0" t="n">
        <v>36.085</v>
      </c>
      <c r="C949" s="0" t="n">
        <v>19.881</v>
      </c>
      <c r="D949" s="0" t="n">
        <v>13.771</v>
      </c>
      <c r="E949" s="0" t="n">
        <v>27.073</v>
      </c>
      <c r="F949" s="0" t="n">
        <v>0.1813</v>
      </c>
      <c r="G949" s="12" t="n">
        <f aca="false">(A949+(C949*D949*COS(RADIANS(E949))^2-F949*C949*D949)*TAN(RADIANS(B949)))/(C949*D949*SIN(RADIANS(E949))*COS(RADIANS(E949)))</f>
        <v>1.2393231238557</v>
      </c>
    </row>
    <row r="950" customFormat="false" ht="15" hidden="false" customHeight="false" outlineLevel="0" collapsed="false">
      <c r="A950" s="0" t="n">
        <v>12.714</v>
      </c>
      <c r="B950" s="0" t="n">
        <v>33.295</v>
      </c>
      <c r="C950" s="0" t="n">
        <v>20.516</v>
      </c>
      <c r="D950" s="0" t="n">
        <v>10.505</v>
      </c>
      <c r="E950" s="0" t="n">
        <v>28.509</v>
      </c>
      <c r="F950" s="0" t="n">
        <v>0.0762</v>
      </c>
      <c r="G950" s="12" t="n">
        <f aca="false">(A950+(C950*D950*COS(RADIANS(E950))^2-F950*C950*D950)*TAN(RADIANS(B950)))/(C950*D950*SIN(RADIANS(E950))*COS(RADIANS(E950)))</f>
        <v>1.23046734892798</v>
      </c>
    </row>
    <row r="951" customFormat="false" ht="15" hidden="false" customHeight="false" outlineLevel="0" collapsed="false">
      <c r="A951" s="0" t="n">
        <v>14.335</v>
      </c>
      <c r="B951" s="0" t="n">
        <v>34.409</v>
      </c>
      <c r="C951" s="0" t="n">
        <v>19.44</v>
      </c>
      <c r="D951" s="0" t="n">
        <v>12.757</v>
      </c>
      <c r="E951" s="0" t="n">
        <v>25.876</v>
      </c>
      <c r="F951" s="0" t="n">
        <v>0.2114</v>
      </c>
      <c r="G951" s="12" t="n">
        <f aca="false">(A951+(C951*D951*COS(RADIANS(E951))^2-F951*C951*D951)*TAN(RADIANS(B951)))/(C951*D951*SIN(RADIANS(E951))*COS(RADIANS(E951)))</f>
        <v>1.19054833897193</v>
      </c>
    </row>
    <row r="952" customFormat="false" ht="15" hidden="false" customHeight="false" outlineLevel="0" collapsed="false">
      <c r="A952" s="0" t="n">
        <v>22.529</v>
      </c>
      <c r="B952" s="0" t="n">
        <v>34.998</v>
      </c>
      <c r="C952" s="0" t="n">
        <v>21.649</v>
      </c>
      <c r="D952" s="0" t="n">
        <v>14.081</v>
      </c>
      <c r="E952" s="0" t="n">
        <v>29.84</v>
      </c>
      <c r="F952" s="0" t="n">
        <v>0.1519</v>
      </c>
      <c r="G952" s="12" t="n">
        <f aca="false">(A952+(C952*D952*COS(RADIANS(E952))^2-F952*C952*D952)*TAN(RADIANS(B952)))/(C952*D952*SIN(RADIANS(E952))*COS(RADIANS(E952)))</f>
        <v>1.14538201739746</v>
      </c>
    </row>
    <row r="953" customFormat="false" ht="15" hidden="false" customHeight="false" outlineLevel="0" collapsed="false">
      <c r="A953" s="0" t="n">
        <v>14.321</v>
      </c>
      <c r="B953" s="0" t="n">
        <v>37.743</v>
      </c>
      <c r="C953" s="0" t="n">
        <v>20.06</v>
      </c>
      <c r="D953" s="0" t="n">
        <v>14.107</v>
      </c>
      <c r="E953" s="0" t="n">
        <v>28.79</v>
      </c>
      <c r="F953" s="0" t="n">
        <v>0.1629</v>
      </c>
      <c r="G953" s="12" t="n">
        <f aca="false">(A953+(C953*D953*COS(RADIANS(E953))^2-F953*C953*D953)*TAN(RADIANS(B953)))/(C953*D953*SIN(RADIANS(E953))*COS(RADIANS(E953)))</f>
        <v>1.22978041345917</v>
      </c>
    </row>
    <row r="954" customFormat="false" ht="15" hidden="false" customHeight="false" outlineLevel="0" collapsed="false">
      <c r="A954" s="0" t="n">
        <v>16.655</v>
      </c>
      <c r="B954" s="0" t="n">
        <v>40.093</v>
      </c>
      <c r="C954" s="0" t="n">
        <v>21.384</v>
      </c>
      <c r="D954" s="0" t="n">
        <v>10.54</v>
      </c>
      <c r="E954" s="0" t="n">
        <v>29.052</v>
      </c>
      <c r="F954" s="0" t="n">
        <v>0.2497</v>
      </c>
      <c r="G954" s="12" t="n">
        <f aca="false">(A954+(C954*D954*COS(RADIANS(E954))^2-F954*C954*D954)*TAN(RADIANS(B954)))/(C954*D954*SIN(RADIANS(E954))*COS(RADIANS(E954)))</f>
        <v>1.19440018724971</v>
      </c>
    </row>
    <row r="955" customFormat="false" ht="15" hidden="false" customHeight="false" outlineLevel="0" collapsed="false">
      <c r="A955" s="0" t="n">
        <v>14.071</v>
      </c>
      <c r="B955" s="0" t="n">
        <v>31.674</v>
      </c>
      <c r="C955" s="0" t="n">
        <v>19.098</v>
      </c>
      <c r="D955" s="0" t="n">
        <v>15.567</v>
      </c>
      <c r="E955" s="0" t="n">
        <v>27.263</v>
      </c>
      <c r="F955" s="0" t="n">
        <v>0.1464</v>
      </c>
      <c r="G955" s="12" t="n">
        <f aca="false">(A955+(C955*D955*COS(RADIANS(E955))^2-F955*C955*D955)*TAN(RADIANS(B955)))/(C955*D955*SIN(RADIANS(E955))*COS(RADIANS(E955)))</f>
        <v>1.09168959003906</v>
      </c>
    </row>
    <row r="956" customFormat="false" ht="15" hidden="false" customHeight="false" outlineLevel="0" collapsed="false">
      <c r="A956" s="0" t="n">
        <v>15.303</v>
      </c>
      <c r="B956" s="0" t="n">
        <v>34.418</v>
      </c>
      <c r="C956" s="0" t="n">
        <v>21.121</v>
      </c>
      <c r="D956" s="0" t="n">
        <v>8.405</v>
      </c>
      <c r="E956" s="0" t="n">
        <v>28.964</v>
      </c>
      <c r="F956" s="0" t="n">
        <v>0.0976</v>
      </c>
      <c r="G956" s="12" t="n">
        <f aca="false">(A956+(C956*D956*COS(RADIANS(E956))^2-F956*C956*D956)*TAN(RADIANS(B956)))/(C956*D956*SIN(RADIANS(E956))*COS(RADIANS(E956)))</f>
        <v>1.28354710201058</v>
      </c>
    </row>
    <row r="957" customFormat="false" ht="15" hidden="false" customHeight="false" outlineLevel="0" collapsed="false">
      <c r="A957" s="0" t="n">
        <v>15.024</v>
      </c>
      <c r="B957" s="0" t="n">
        <v>33.693</v>
      </c>
      <c r="C957" s="0" t="n">
        <v>20.661</v>
      </c>
      <c r="D957" s="0" t="n">
        <v>10.483</v>
      </c>
      <c r="E957" s="0" t="n">
        <v>30.715</v>
      </c>
      <c r="F957" s="0" t="n">
        <v>0.0245</v>
      </c>
      <c r="G957" s="12" t="n">
        <f aca="false">(A957+(C957*D957*COS(RADIANS(E957))^2-F957*C957*D957)*TAN(RADIANS(B957)))/(C957*D957*SIN(RADIANS(E957))*COS(RADIANS(E957)))</f>
        <v>1.24301759645783</v>
      </c>
    </row>
    <row r="958" customFormat="false" ht="15" hidden="false" customHeight="false" outlineLevel="0" collapsed="false">
      <c r="A958" s="0" t="n">
        <v>16.793</v>
      </c>
      <c r="B958" s="0" t="n">
        <v>35.837</v>
      </c>
      <c r="C958" s="0" t="n">
        <v>19.356</v>
      </c>
      <c r="D958" s="0" t="n">
        <v>18.045</v>
      </c>
      <c r="E958" s="0" t="n">
        <v>28.734</v>
      </c>
      <c r="F958" s="0" t="n">
        <v>0.0034</v>
      </c>
      <c r="G958" s="12" t="n">
        <f aca="false">(A958+(C958*D958*COS(RADIANS(E958))^2-F958*C958*D958)*TAN(RADIANS(B958)))/(C958*D958*SIN(RADIANS(E958))*COS(RADIANS(E958)))</f>
        <v>1.42550705388741</v>
      </c>
    </row>
    <row r="959" customFormat="false" ht="15" hidden="false" customHeight="false" outlineLevel="0" collapsed="false">
      <c r="A959" s="0" t="n">
        <v>19.661</v>
      </c>
      <c r="B959" s="0" t="n">
        <v>39.13</v>
      </c>
      <c r="C959" s="0" t="n">
        <v>20.083</v>
      </c>
      <c r="D959" s="0" t="n">
        <v>11.329</v>
      </c>
      <c r="E959" s="0" t="n">
        <v>26.967</v>
      </c>
      <c r="F959" s="0" t="n">
        <v>0.2571</v>
      </c>
      <c r="G959" s="12" t="n">
        <f aca="false">(A959+(C959*D959*COS(RADIANS(E959))^2-F959*C959*D959)*TAN(RADIANS(B959)))/(C959*D959*SIN(RADIANS(E959))*COS(RADIANS(E959)))</f>
        <v>1.29524708363974</v>
      </c>
    </row>
    <row r="960" customFormat="false" ht="15" hidden="false" customHeight="false" outlineLevel="0" collapsed="false">
      <c r="A960" s="0" t="n">
        <v>21.59</v>
      </c>
      <c r="B960" s="0" t="n">
        <v>35.211</v>
      </c>
      <c r="C960" s="0" t="n">
        <v>20.699</v>
      </c>
      <c r="D960" s="0" t="n">
        <v>9.446</v>
      </c>
      <c r="E960" s="0" t="n">
        <v>28.976</v>
      </c>
      <c r="F960" s="0" t="n">
        <v>0.0334</v>
      </c>
      <c r="G960" s="12" t="n">
        <f aca="false">(A960+(C960*D960*COS(RADIANS(E960))^2-F960*C960*D960)*TAN(RADIANS(B960)))/(C960*D960*SIN(RADIANS(E960))*COS(RADIANS(E960)))</f>
        <v>1.47932662498573</v>
      </c>
    </row>
    <row r="961" customFormat="false" ht="15" hidden="false" customHeight="false" outlineLevel="0" collapsed="false">
      <c r="A961" s="0" t="n">
        <v>16.238</v>
      </c>
      <c r="B961" s="0" t="n">
        <v>33.228</v>
      </c>
      <c r="C961" s="0" t="n">
        <v>18.816</v>
      </c>
      <c r="D961" s="0" t="n">
        <v>14.121</v>
      </c>
      <c r="E961" s="0" t="n">
        <v>30.956</v>
      </c>
      <c r="F961" s="0" t="n">
        <v>0</v>
      </c>
      <c r="G961" s="12" t="n">
        <f aca="false">(A961+(C961*D961*COS(RADIANS(E961))^2-F961*C961*D961)*TAN(RADIANS(B961)))/(C961*D961*SIN(RADIANS(E961))*COS(RADIANS(E961)))</f>
        <v>1.23067962162952</v>
      </c>
    </row>
    <row r="962" customFormat="false" ht="15" hidden="false" customHeight="false" outlineLevel="0" collapsed="false">
      <c r="A962" s="0" t="n">
        <v>17.358</v>
      </c>
      <c r="B962" s="0" t="n">
        <v>38.025</v>
      </c>
      <c r="C962" s="0" t="n">
        <v>18.043</v>
      </c>
      <c r="D962" s="0" t="n">
        <v>15.604</v>
      </c>
      <c r="E962" s="0" t="n">
        <v>25.504</v>
      </c>
      <c r="F962" s="0" t="n">
        <v>0.1698</v>
      </c>
      <c r="G962" s="12" t="n">
        <f aca="false">(A962+(C962*D962*COS(RADIANS(E962))^2-F962*C962*D962)*TAN(RADIANS(B962)))/(C962*D962*SIN(RADIANS(E962))*COS(RADIANS(E962)))</f>
        <v>1.45614857804451</v>
      </c>
    </row>
    <row r="963" customFormat="false" ht="15" hidden="false" customHeight="false" outlineLevel="0" collapsed="false">
      <c r="A963" s="0" t="n">
        <v>10.397</v>
      </c>
      <c r="B963" s="0" t="n">
        <v>34.21</v>
      </c>
      <c r="C963" s="0" t="n">
        <v>18.61</v>
      </c>
      <c r="D963" s="0" t="n">
        <v>11.938</v>
      </c>
      <c r="E963" s="0" t="n">
        <v>29.711</v>
      </c>
      <c r="F963" s="0" t="n">
        <v>0.3044</v>
      </c>
      <c r="G963" s="12" t="n">
        <f aca="false">(A963+(C963*D963*COS(RADIANS(E963))^2-F963*C963*D963)*TAN(RADIANS(B963)))/(C963*D963*SIN(RADIANS(E963))*COS(RADIANS(E963)))</f>
        <v>0.819345308085031</v>
      </c>
    </row>
    <row r="964" customFormat="false" ht="15" hidden="false" customHeight="false" outlineLevel="0" collapsed="false">
      <c r="A964" s="0" t="n">
        <v>14.648</v>
      </c>
      <c r="B964" s="0" t="n">
        <v>34.492</v>
      </c>
      <c r="C964" s="0" t="n">
        <v>19.58</v>
      </c>
      <c r="D964" s="0" t="n">
        <v>17.344</v>
      </c>
      <c r="E964" s="0" t="n">
        <v>26.252</v>
      </c>
      <c r="F964" s="0" t="n">
        <v>0.0965</v>
      </c>
      <c r="G964" s="12" t="n">
        <f aca="false">(A964+(C964*D964*COS(RADIANS(E964))^2-F964*C964*D964)*TAN(RADIANS(B964)))/(C964*D964*SIN(RADIANS(E964))*COS(RADIANS(E964)))</f>
        <v>1.33472357128158</v>
      </c>
    </row>
    <row r="965" customFormat="false" ht="15" hidden="false" customHeight="false" outlineLevel="0" collapsed="false">
      <c r="A965" s="0" t="n">
        <v>18.761</v>
      </c>
      <c r="B965" s="0" t="n">
        <v>36.757</v>
      </c>
      <c r="C965" s="0" t="n">
        <v>19.768</v>
      </c>
      <c r="D965" s="0" t="n">
        <v>13.566</v>
      </c>
      <c r="E965" s="0" t="n">
        <v>28.083</v>
      </c>
      <c r="F965" s="0" t="n">
        <v>0.151</v>
      </c>
      <c r="G965" s="12" t="n">
        <f aca="false">(A965+(C965*D965*COS(RADIANS(E965))^2-F965*C965*D965)*TAN(RADIANS(B965)))/(C965*D965*SIN(RADIANS(E965))*COS(RADIANS(E965)))</f>
        <v>1.29675045624864</v>
      </c>
    </row>
    <row r="966" customFormat="false" ht="15" hidden="false" customHeight="false" outlineLevel="0" collapsed="false">
      <c r="A966" s="0" t="n">
        <v>18.464</v>
      </c>
      <c r="B966" s="0" t="n">
        <v>30.99</v>
      </c>
      <c r="C966" s="0" t="n">
        <v>19.6</v>
      </c>
      <c r="D966" s="0" t="n">
        <v>13.506</v>
      </c>
      <c r="E966" s="0" t="n">
        <v>29.816</v>
      </c>
      <c r="F966" s="0" t="n">
        <v>0.0835</v>
      </c>
      <c r="G966" s="12" t="n">
        <f aca="false">(A966+(C966*D966*COS(RADIANS(E966))^2-F966*C966*D966)*TAN(RADIANS(B966)))/(C966*D966*SIN(RADIANS(E966))*COS(RADIANS(E966)))</f>
        <v>1.09349679504465</v>
      </c>
    </row>
    <row r="967" customFormat="false" ht="15" hidden="false" customHeight="false" outlineLevel="0" collapsed="false">
      <c r="A967" s="0" t="n">
        <v>15.846</v>
      </c>
      <c r="B967" s="0" t="n">
        <v>30.798</v>
      </c>
      <c r="C967" s="0" t="n">
        <v>18.732</v>
      </c>
      <c r="D967" s="0" t="n">
        <v>19.077</v>
      </c>
      <c r="E967" s="0" t="n">
        <v>29.024</v>
      </c>
      <c r="F967" s="0" t="n">
        <v>0.2449</v>
      </c>
      <c r="G967" s="12" t="n">
        <f aca="false">(A967+(C967*D967*COS(RADIANS(E967))^2-F967*C967*D967)*TAN(RADIANS(B967)))/(C967*D967*SIN(RADIANS(E967))*COS(RADIANS(E967)))</f>
        <v>0.834715005524603</v>
      </c>
    </row>
    <row r="968" customFormat="false" ht="15" hidden="false" customHeight="false" outlineLevel="0" collapsed="false">
      <c r="A968" s="0" t="n">
        <v>18.546</v>
      </c>
      <c r="B968" s="0" t="n">
        <v>31.952</v>
      </c>
      <c r="C968" s="0" t="n">
        <v>21.039</v>
      </c>
      <c r="D968" s="0" t="n">
        <v>15.195</v>
      </c>
      <c r="E968" s="0" t="n">
        <v>24.594</v>
      </c>
      <c r="F968" s="0" t="n">
        <v>0.2958</v>
      </c>
      <c r="G968" s="12" t="n">
        <f aca="false">(A968+(C968*D968*COS(RADIANS(E968))^2-F968*C968*D968)*TAN(RADIANS(B968)))/(C968*D968*SIN(RADIANS(E968))*COS(RADIANS(E968)))</f>
        <v>1.02844571676883</v>
      </c>
    </row>
    <row r="969" customFormat="false" ht="15" hidden="false" customHeight="false" outlineLevel="0" collapsed="false">
      <c r="A969" s="0" t="n">
        <v>16.963</v>
      </c>
      <c r="B969" s="0" t="n">
        <v>34.113</v>
      </c>
      <c r="C969" s="0" t="n">
        <v>20.716</v>
      </c>
      <c r="D969" s="0" t="n">
        <v>9.656</v>
      </c>
      <c r="E969" s="0" t="n">
        <v>26.865</v>
      </c>
      <c r="F969" s="0" t="n">
        <v>0.1636</v>
      </c>
      <c r="G969" s="12" t="n">
        <f aca="false">(A969+(C969*D969*COS(RADIANS(E969))^2-F969*C969*D969)*TAN(RADIANS(B969)))/(C969*D969*SIN(RADIANS(E969))*COS(RADIANS(E969)))</f>
        <v>1.27267237313025</v>
      </c>
    </row>
    <row r="970" customFormat="false" ht="15" hidden="false" customHeight="false" outlineLevel="0" collapsed="false">
      <c r="A970" s="0" t="n">
        <v>19.801</v>
      </c>
      <c r="B970" s="0" t="n">
        <v>38.077</v>
      </c>
      <c r="C970" s="0" t="n">
        <v>20.576</v>
      </c>
      <c r="D970" s="0" t="n">
        <v>22.114</v>
      </c>
      <c r="E970" s="0" t="n">
        <v>30.302</v>
      </c>
      <c r="F970" s="0" t="n">
        <v>0.0961</v>
      </c>
      <c r="G970" s="12" t="n">
        <f aca="false">(A970+(C970*D970*COS(RADIANS(E970))^2-F970*C970*D970)*TAN(RADIANS(B970)))/(C970*D970*SIN(RADIANS(E970))*COS(RADIANS(E970)))</f>
        <v>1.26767402322248</v>
      </c>
    </row>
    <row r="971" customFormat="false" ht="15" hidden="false" customHeight="false" outlineLevel="0" collapsed="false">
      <c r="A971" s="0" t="n">
        <v>16.157</v>
      </c>
      <c r="B971" s="0" t="n">
        <v>32.963</v>
      </c>
      <c r="C971" s="0" t="n">
        <v>19.848</v>
      </c>
      <c r="D971" s="0" t="n">
        <v>16.079</v>
      </c>
      <c r="E971" s="0" t="n">
        <v>26.284</v>
      </c>
      <c r="F971" s="0" t="n">
        <v>0.2712</v>
      </c>
      <c r="G971" s="12" t="n">
        <f aca="false">(A971+(C971*D971*COS(RADIANS(E971))^2-F971*C971*D971)*TAN(RADIANS(B971)))/(C971*D971*SIN(RADIANS(E971))*COS(RADIANS(E971)))</f>
        <v>0.997598549907616</v>
      </c>
    </row>
    <row r="972" customFormat="false" ht="15" hidden="false" customHeight="false" outlineLevel="0" collapsed="false">
      <c r="A972" s="0" t="n">
        <v>13.577</v>
      </c>
      <c r="B972" s="0" t="n">
        <v>33.425</v>
      </c>
      <c r="C972" s="0" t="n">
        <v>21.454</v>
      </c>
      <c r="D972" s="0" t="n">
        <v>12.545</v>
      </c>
      <c r="E972" s="0" t="n">
        <v>26.116</v>
      </c>
      <c r="F972" s="0" t="n">
        <v>0.1515</v>
      </c>
      <c r="G972" s="12" t="n">
        <f aca="false">(A972+(C972*D972*COS(RADIANS(E972))^2-F972*C972*D972)*TAN(RADIANS(B972)))/(C972*D972*SIN(RADIANS(E972))*COS(RADIANS(E972)))</f>
        <v>1.22093423277939</v>
      </c>
    </row>
    <row r="973" customFormat="false" ht="15" hidden="false" customHeight="false" outlineLevel="0" collapsed="false">
      <c r="A973" s="0" t="n">
        <v>16.343</v>
      </c>
      <c r="B973" s="0" t="n">
        <v>35.511</v>
      </c>
      <c r="C973" s="0" t="n">
        <v>20.432</v>
      </c>
      <c r="D973" s="0" t="n">
        <v>18.199</v>
      </c>
      <c r="E973" s="0" t="n">
        <v>28.959</v>
      </c>
      <c r="F973" s="0" t="n">
        <v>0.1073</v>
      </c>
      <c r="G973" s="12" t="n">
        <f aca="false">(A973+(C973*D973*COS(RADIANS(E973))^2-F973*C973*D973)*TAN(RADIANS(B973)))/(C973*D973*SIN(RADIANS(E973))*COS(RADIANS(E973)))</f>
        <v>1.21252371495606</v>
      </c>
    </row>
    <row r="974" customFormat="false" ht="15" hidden="false" customHeight="false" outlineLevel="0" collapsed="false">
      <c r="A974" s="0" t="n">
        <v>3.278</v>
      </c>
      <c r="B974" s="0" t="n">
        <v>32.181</v>
      </c>
      <c r="C974" s="0" t="n">
        <v>18.731</v>
      </c>
      <c r="D974" s="0" t="n">
        <v>11.15</v>
      </c>
      <c r="E974" s="0" t="n">
        <v>29.981</v>
      </c>
      <c r="F974" s="0" t="n">
        <v>0.1375</v>
      </c>
      <c r="G974" s="12" t="n">
        <f aca="false">(A974+(C974*D974*COS(RADIANS(E974))^2-F974*C974*D974)*TAN(RADIANS(B974)))/(C974*D974*SIN(RADIANS(E974))*COS(RADIANS(E974)))</f>
        <v>0.92712789588572</v>
      </c>
    </row>
    <row r="975" customFormat="false" ht="15" hidden="false" customHeight="false" outlineLevel="0" collapsed="false">
      <c r="A975" s="0" t="n">
        <v>16.532</v>
      </c>
      <c r="B975" s="0" t="n">
        <v>33.563</v>
      </c>
      <c r="C975" s="0" t="n">
        <v>20.767</v>
      </c>
      <c r="D975" s="0" t="n">
        <v>11.294</v>
      </c>
      <c r="E975" s="0" t="n">
        <v>26.681</v>
      </c>
      <c r="F975" s="0" t="n">
        <v>0.08</v>
      </c>
      <c r="G975" s="12" t="n">
        <f aca="false">(A975+(C975*D975*COS(RADIANS(E975))^2-F975*C975*D975)*TAN(RADIANS(B975)))/(C975*D975*SIN(RADIANS(E975))*COS(RADIANS(E975)))</f>
        <v>1.36364019313285</v>
      </c>
    </row>
    <row r="976" customFormat="false" ht="15" hidden="false" customHeight="false" outlineLevel="0" collapsed="false">
      <c r="A976" s="0" t="n">
        <v>0.406</v>
      </c>
      <c r="B976" s="0" t="n">
        <v>34.873</v>
      </c>
      <c r="C976" s="0" t="n">
        <v>19.27</v>
      </c>
      <c r="D976" s="0" t="n">
        <v>16.674</v>
      </c>
      <c r="E976" s="0" t="n">
        <v>27.965</v>
      </c>
      <c r="F976" s="0" t="n">
        <v>0.2477</v>
      </c>
      <c r="G976" s="12" t="n">
        <f aca="false">(A976+(C976*D976*COS(RADIANS(E976))^2-F976*C976*D976)*TAN(RADIANS(B976)))/(C976*D976*SIN(RADIANS(E976))*COS(RADIANS(E976)))</f>
        <v>0.898891231646364</v>
      </c>
    </row>
    <row r="977" customFormat="false" ht="15" hidden="false" customHeight="false" outlineLevel="0" collapsed="false">
      <c r="A977" s="0" t="n">
        <v>8.106</v>
      </c>
      <c r="B977" s="0" t="n">
        <v>36.697</v>
      </c>
      <c r="C977" s="0" t="n">
        <v>18.287</v>
      </c>
      <c r="D977" s="0" t="n">
        <v>8.993</v>
      </c>
      <c r="E977" s="0" t="n">
        <v>28.477</v>
      </c>
      <c r="F977" s="0" t="n">
        <v>0.0849</v>
      </c>
      <c r="G977" s="12" t="n">
        <f aca="false">(A977+(C977*D977*COS(RADIANS(E977))^2-F977*C977*D977)*TAN(RADIANS(B977)))/(C977*D977*SIN(RADIANS(E977))*COS(RADIANS(E977)))</f>
        <v>1.34060968022064</v>
      </c>
    </row>
    <row r="978" customFormat="false" ht="15" hidden="false" customHeight="false" outlineLevel="0" collapsed="false">
      <c r="A978" s="0" t="n">
        <v>16.807</v>
      </c>
      <c r="B978" s="0" t="n">
        <v>37.826</v>
      </c>
      <c r="C978" s="0" t="n">
        <v>21.626</v>
      </c>
      <c r="D978" s="0" t="n">
        <v>18.194</v>
      </c>
      <c r="E978" s="0" t="n">
        <v>28.628</v>
      </c>
      <c r="F978" s="0" t="n">
        <v>0.1283</v>
      </c>
      <c r="G978" s="12" t="n">
        <f aca="false">(A978+(C978*D978*COS(RADIANS(E978))^2-F978*C978*D978)*TAN(RADIANS(B978)))/(C978*D978*SIN(RADIANS(E978))*COS(RADIANS(E978)))</f>
        <v>1.2870824688312</v>
      </c>
    </row>
    <row r="979" customFormat="false" ht="15" hidden="false" customHeight="false" outlineLevel="0" collapsed="false">
      <c r="A979" s="0" t="n">
        <v>16.91</v>
      </c>
      <c r="B979" s="0" t="n">
        <v>34.518</v>
      </c>
      <c r="C979" s="0" t="n">
        <v>19.596</v>
      </c>
      <c r="D979" s="0" t="n">
        <v>13.537</v>
      </c>
      <c r="E979" s="0" t="n">
        <v>26.897</v>
      </c>
      <c r="F979" s="0" t="n">
        <v>0.0515</v>
      </c>
      <c r="G979" s="12" t="n">
        <f aca="false">(A979+(C979*D979*COS(RADIANS(E979))^2-F979*C979*D979)*TAN(RADIANS(B979)))/(C979*D979*SIN(RADIANS(E979))*COS(RADIANS(E979)))</f>
        <v>1.42600550920328</v>
      </c>
    </row>
    <row r="980" customFormat="false" ht="15" hidden="false" customHeight="false" outlineLevel="0" collapsed="false">
      <c r="A980" s="0" t="n">
        <v>10.35</v>
      </c>
      <c r="B980" s="0" t="n">
        <v>34.106</v>
      </c>
      <c r="C980" s="0" t="n">
        <v>18.838</v>
      </c>
      <c r="D980" s="0" t="n">
        <v>16.76</v>
      </c>
      <c r="E980" s="0" t="n">
        <v>26.529</v>
      </c>
      <c r="F980" s="0" t="n">
        <v>0.1047</v>
      </c>
      <c r="G980" s="12" t="n">
        <f aca="false">(A980+(C980*D980*COS(RADIANS(E980))^2-F980*C980*D980)*TAN(RADIANS(B980)))/(C980*D980*SIN(RADIANS(E980))*COS(RADIANS(E980)))</f>
        <v>1.26114657677287</v>
      </c>
    </row>
    <row r="981" customFormat="false" ht="15" hidden="false" customHeight="false" outlineLevel="0" collapsed="false">
      <c r="A981" s="0" t="n">
        <v>12.152</v>
      </c>
      <c r="B981" s="0" t="n">
        <v>34.357</v>
      </c>
      <c r="C981" s="0" t="n">
        <v>20.283</v>
      </c>
      <c r="D981" s="0" t="n">
        <v>17.245</v>
      </c>
      <c r="E981" s="0" t="n">
        <v>32.677</v>
      </c>
      <c r="F981" s="0" t="n">
        <v>0.254</v>
      </c>
      <c r="G981" s="12" t="n">
        <f aca="false">(A981+(C981*D981*COS(RADIANS(E981))^2-F981*C981*D981)*TAN(RADIANS(B981)))/(C981*D981*SIN(RADIANS(E981))*COS(RADIANS(E981)))</f>
        <v>0.760142406597274</v>
      </c>
    </row>
    <row r="982" customFormat="false" ht="15" hidden="false" customHeight="false" outlineLevel="0" collapsed="false">
      <c r="A982" s="0" t="n">
        <v>20.482</v>
      </c>
      <c r="B982" s="0" t="n">
        <v>35.612</v>
      </c>
      <c r="C982" s="0" t="n">
        <v>20.435</v>
      </c>
      <c r="D982" s="0" t="n">
        <v>20.765</v>
      </c>
      <c r="E982" s="0" t="n">
        <v>29.362</v>
      </c>
      <c r="F982" s="0" t="n">
        <v>0.1564</v>
      </c>
      <c r="G982" s="12" t="n">
        <f aca="false">(A982+(C982*D982*COS(RADIANS(E982))^2-F982*C982*D982)*TAN(RADIANS(B982)))/(C982*D982*SIN(RADIANS(E982))*COS(RADIANS(E982)))</f>
        <v>1.12392181313447</v>
      </c>
    </row>
    <row r="983" customFormat="false" ht="15" hidden="false" customHeight="false" outlineLevel="0" collapsed="false">
      <c r="A983" s="0" t="n">
        <v>13.064</v>
      </c>
      <c r="B983" s="0" t="n">
        <v>39.404</v>
      </c>
      <c r="C983" s="0" t="n">
        <v>19.536</v>
      </c>
      <c r="D983" s="0" t="n">
        <v>14.51</v>
      </c>
      <c r="E983" s="0" t="n">
        <v>28.796</v>
      </c>
      <c r="F983" s="0" t="n">
        <v>0.2502</v>
      </c>
      <c r="G983" s="12" t="n">
        <f aca="false">(A983+(C983*D983*COS(RADIANS(E983))^2-F983*C983*D983)*TAN(RADIANS(B983)))/(C983*D983*SIN(RADIANS(E983))*COS(RADIANS(E983)))</f>
        <v>1.11684509939532</v>
      </c>
    </row>
    <row r="984" customFormat="false" ht="15" hidden="false" customHeight="false" outlineLevel="0" collapsed="false">
      <c r="A984" s="0" t="n">
        <v>23.972</v>
      </c>
      <c r="B984" s="0" t="n">
        <v>41.524</v>
      </c>
      <c r="C984" s="0" t="n">
        <v>18.351</v>
      </c>
      <c r="D984" s="0" t="n">
        <v>20.514</v>
      </c>
      <c r="E984" s="0" t="n">
        <v>28.219</v>
      </c>
      <c r="F984" s="0" t="n">
        <v>0.2751</v>
      </c>
      <c r="G984" s="12" t="n">
        <f aca="false">(A984+(C984*D984*COS(RADIANS(E984))^2-F984*C984*D984)*TAN(RADIANS(B984)))/(C984*D984*SIN(RADIANS(E984))*COS(RADIANS(E984)))</f>
        <v>1.21826591335989</v>
      </c>
    </row>
    <row r="985" customFormat="false" ht="15" hidden="false" customHeight="false" outlineLevel="0" collapsed="false">
      <c r="A985" s="0" t="n">
        <v>14.992</v>
      </c>
      <c r="B985" s="0" t="n">
        <v>40.547</v>
      </c>
      <c r="C985" s="0" t="n">
        <v>19.28</v>
      </c>
      <c r="D985" s="0" t="n">
        <v>15.614</v>
      </c>
      <c r="E985" s="0" t="n">
        <v>29.484</v>
      </c>
      <c r="F985" s="0" t="n">
        <v>0.1915</v>
      </c>
      <c r="G985" s="12" t="n">
        <f aca="false">(A985+(C985*D985*COS(RADIANS(E985))^2-F985*C985*D985)*TAN(RADIANS(B985)))/(C985*D985*SIN(RADIANS(E985))*COS(RADIANS(E985)))</f>
        <v>1.2469320575453</v>
      </c>
    </row>
    <row r="986" customFormat="false" ht="15" hidden="false" customHeight="false" outlineLevel="0" collapsed="false">
      <c r="A986" s="0" t="n">
        <v>16.632</v>
      </c>
      <c r="B986" s="0" t="n">
        <v>38.198</v>
      </c>
      <c r="C986" s="0" t="n">
        <v>20.586</v>
      </c>
      <c r="D986" s="0" t="n">
        <v>18.203</v>
      </c>
      <c r="E986" s="0" t="n">
        <v>29.274</v>
      </c>
      <c r="F986" s="0" t="n">
        <v>0.0495</v>
      </c>
      <c r="G986" s="12" t="n">
        <f aca="false">(A986+(C986*D986*COS(RADIANS(E986))^2-F986*C986*D986)*TAN(RADIANS(B986)))/(C986*D986*SIN(RADIANS(E986))*COS(RADIANS(E986)))</f>
        <v>1.41641146332483</v>
      </c>
    </row>
    <row r="987" customFormat="false" ht="15" hidden="false" customHeight="false" outlineLevel="0" collapsed="false">
      <c r="A987" s="0" t="n">
        <v>21.467</v>
      </c>
      <c r="B987" s="0" t="n">
        <v>31.934</v>
      </c>
      <c r="C987" s="0" t="n">
        <v>21.137</v>
      </c>
      <c r="D987" s="0" t="n">
        <v>14.75</v>
      </c>
      <c r="E987" s="0" t="n">
        <v>25.809</v>
      </c>
      <c r="F987" s="0" t="n">
        <v>0.0174</v>
      </c>
      <c r="G987" s="12" t="n">
        <f aca="false">(A987+(C987*D987*COS(RADIANS(E987))^2-F987*C987*D987)*TAN(RADIANS(B987)))/(C987*D987*SIN(RADIANS(E987))*COS(RADIANS(E987)))</f>
        <v>1.43678302959951</v>
      </c>
    </row>
    <row r="988" customFormat="false" ht="15" hidden="false" customHeight="false" outlineLevel="0" collapsed="false">
      <c r="A988" s="0" t="n">
        <v>15.524</v>
      </c>
      <c r="B988" s="0" t="n">
        <v>35.652</v>
      </c>
      <c r="C988" s="0" t="n">
        <v>22.723</v>
      </c>
      <c r="D988" s="0" t="n">
        <v>16.732</v>
      </c>
      <c r="E988" s="0" t="n">
        <v>28.039</v>
      </c>
      <c r="F988" s="0" t="n">
        <v>0.2267</v>
      </c>
      <c r="G988" s="12" t="n">
        <f aca="false">(A988+(C988*D988*COS(RADIANS(E988))^2-F988*C988*D988)*TAN(RADIANS(B988)))/(C988*D988*SIN(RADIANS(E988))*COS(RADIANS(E988)))</f>
        <v>1.05331773131576</v>
      </c>
    </row>
    <row r="989" customFormat="false" ht="15" hidden="false" customHeight="false" outlineLevel="0" collapsed="false">
      <c r="A989" s="0" t="n">
        <v>10.991</v>
      </c>
      <c r="B989" s="0" t="n">
        <v>33.904</v>
      </c>
      <c r="C989" s="0" t="n">
        <v>18.121</v>
      </c>
      <c r="D989" s="0" t="n">
        <v>16.545</v>
      </c>
      <c r="E989" s="0" t="n">
        <v>27.043</v>
      </c>
      <c r="F989" s="0" t="n">
        <v>0.1522</v>
      </c>
      <c r="G989" s="12" t="n">
        <f aca="false">(A989+(C989*D989*COS(RADIANS(E989))^2-F989*C989*D989)*TAN(RADIANS(B989)))/(C989*D989*SIN(RADIANS(E989))*COS(RADIANS(E989)))</f>
        <v>1.15450526552453</v>
      </c>
    </row>
    <row r="990" customFormat="false" ht="15" hidden="false" customHeight="false" outlineLevel="0" collapsed="false">
      <c r="A990" s="0" t="n">
        <v>14.561</v>
      </c>
      <c r="B990" s="0" t="n">
        <v>34.589</v>
      </c>
      <c r="C990" s="0" t="n">
        <v>20.038</v>
      </c>
      <c r="D990" s="0" t="n">
        <v>15.532</v>
      </c>
      <c r="E990" s="0" t="n">
        <v>26.536</v>
      </c>
      <c r="F990" s="0" t="n">
        <v>0.0304</v>
      </c>
      <c r="G990" s="12" t="n">
        <f aca="false">(A990+(C990*D990*COS(RADIANS(E990))^2-F990*C990*D990)*TAN(RADIANS(B990)))/(C990*D990*SIN(RADIANS(E990))*COS(RADIANS(E990)))</f>
        <v>1.44549599451191</v>
      </c>
    </row>
    <row r="991" customFormat="false" ht="15" hidden="false" customHeight="false" outlineLevel="0" collapsed="false">
      <c r="A991" s="0" t="n">
        <v>14.858</v>
      </c>
      <c r="B991" s="0" t="n">
        <v>40.221</v>
      </c>
      <c r="C991" s="0" t="n">
        <v>19.439</v>
      </c>
      <c r="D991" s="0" t="n">
        <v>7.744</v>
      </c>
      <c r="E991" s="0" t="n">
        <v>25.109</v>
      </c>
      <c r="F991" s="0" t="n">
        <v>0.194</v>
      </c>
      <c r="G991" s="12" t="n">
        <f aca="false">(A991+(C991*D991*COS(RADIANS(E991))^2-F991*C991*D991)*TAN(RADIANS(B991)))/(C991*D991*SIN(RADIANS(E991))*COS(RADIANS(E991)))</f>
        <v>1.63451460832111</v>
      </c>
    </row>
    <row r="992" customFormat="false" ht="15" hidden="false" customHeight="false" outlineLevel="0" collapsed="false">
      <c r="A992" s="0" t="n">
        <v>9.541</v>
      </c>
      <c r="B992" s="0" t="n">
        <v>38.986</v>
      </c>
      <c r="C992" s="0" t="n">
        <v>20.077</v>
      </c>
      <c r="D992" s="0" t="n">
        <v>16.048</v>
      </c>
      <c r="E992" s="0" t="n">
        <v>30.207</v>
      </c>
      <c r="F992" s="0" t="n">
        <v>0.1914</v>
      </c>
      <c r="G992" s="12" t="n">
        <f aca="false">(A992+(C992*D992*COS(RADIANS(E992))^2-F992*C992*D992)*TAN(RADIANS(B992)))/(C992*D992*SIN(RADIANS(E992))*COS(RADIANS(E992)))</f>
        <v>1.10208280353</v>
      </c>
    </row>
    <row r="993" customFormat="false" ht="15" hidden="false" customHeight="false" outlineLevel="0" collapsed="false">
      <c r="A993" s="0" t="n">
        <v>13.977</v>
      </c>
      <c r="B993" s="0" t="n">
        <v>37.541</v>
      </c>
      <c r="C993" s="0" t="n">
        <v>18.37</v>
      </c>
      <c r="D993" s="0" t="n">
        <v>14.964</v>
      </c>
      <c r="E993" s="0" t="n">
        <v>30.998</v>
      </c>
      <c r="F993" s="0" t="n">
        <v>0.2765</v>
      </c>
      <c r="G993" s="12" t="n">
        <f aca="false">(A993+(C993*D993*COS(RADIANS(E993))^2-F993*C993*D993)*TAN(RADIANS(B993)))/(C993*D993*SIN(RADIANS(E993))*COS(RADIANS(E993)))</f>
        <v>0.912902711371065</v>
      </c>
    </row>
    <row r="994" customFormat="false" ht="15" hidden="false" customHeight="false" outlineLevel="0" collapsed="false">
      <c r="A994" s="0" t="n">
        <v>12.031</v>
      </c>
      <c r="B994" s="0" t="n">
        <v>42.847</v>
      </c>
      <c r="C994" s="0" t="n">
        <v>20.489</v>
      </c>
      <c r="D994" s="0" t="n">
        <v>12.74</v>
      </c>
      <c r="E994" s="0" t="n">
        <v>27.075</v>
      </c>
      <c r="F994" s="0" t="n">
        <v>0.0494</v>
      </c>
      <c r="G994" s="12" t="n">
        <f aca="false">(A994+(C994*D994*COS(RADIANS(E994))^2-F994*C994*D994)*TAN(RADIANS(B994)))/(C994*D994*SIN(RADIANS(E994))*COS(RADIANS(E994)))</f>
        <v>1.81518116612783</v>
      </c>
    </row>
    <row r="995" customFormat="false" ht="15" hidden="false" customHeight="false" outlineLevel="0" collapsed="false">
      <c r="A995" s="0" t="n">
        <v>18.697</v>
      </c>
      <c r="B995" s="0" t="n">
        <v>37.479</v>
      </c>
      <c r="C995" s="0" t="n">
        <v>19.746</v>
      </c>
      <c r="D995" s="0" t="n">
        <v>11.156</v>
      </c>
      <c r="E995" s="0" t="n">
        <v>32.156</v>
      </c>
      <c r="F995" s="0" t="n">
        <v>0.1381</v>
      </c>
      <c r="G995" s="12" t="n">
        <f aca="false">(A995+(C995*D995*COS(RADIANS(E995))^2-F995*C995*D995)*TAN(RADIANS(B995)))/(C995*D995*SIN(RADIANS(E995))*COS(RADIANS(E995)))</f>
        <v>1.17301438033353</v>
      </c>
    </row>
    <row r="996" customFormat="false" ht="15" hidden="false" customHeight="false" outlineLevel="0" collapsed="false">
      <c r="A996" s="0" t="n">
        <v>15.138</v>
      </c>
      <c r="B996" s="0" t="n">
        <v>39.462</v>
      </c>
      <c r="C996" s="0" t="n">
        <v>20.466</v>
      </c>
      <c r="D996" s="0" t="n">
        <v>18.496</v>
      </c>
      <c r="E996" s="0" t="n">
        <v>26.495</v>
      </c>
      <c r="F996" s="0" t="n">
        <v>0.035</v>
      </c>
      <c r="G996" s="12" t="n">
        <f aca="false">(A996+(C996*D996*COS(RADIANS(E996))^2-F996*C996*D996)*TAN(RADIANS(B996)))/(C996*D996*SIN(RADIANS(E996))*COS(RADIANS(E996)))</f>
        <v>1.67948683228283</v>
      </c>
    </row>
    <row r="997" customFormat="false" ht="15" hidden="false" customHeight="false" outlineLevel="0" collapsed="false">
      <c r="A997" s="0" t="n">
        <v>13.869</v>
      </c>
      <c r="B997" s="0" t="n">
        <v>36.668</v>
      </c>
      <c r="C997" s="0" t="n">
        <v>17.14</v>
      </c>
      <c r="D997" s="0" t="n">
        <v>12.327</v>
      </c>
      <c r="E997" s="0" t="n">
        <v>26.712</v>
      </c>
      <c r="F997" s="0" t="n">
        <v>0.0636</v>
      </c>
      <c r="G997" s="12" t="n">
        <f aca="false">(A997+(C997*D997*COS(RADIANS(E997))^2-F997*C997*D997)*TAN(RADIANS(B997)))/(C997*D997*SIN(RADIANS(E997))*COS(RADIANS(E997)))</f>
        <v>1.52507016894899</v>
      </c>
    </row>
    <row r="998" customFormat="false" ht="15" hidden="false" customHeight="false" outlineLevel="0" collapsed="false">
      <c r="A998" s="0" t="n">
        <v>14.575</v>
      </c>
      <c r="B998" s="0" t="n">
        <v>35.595</v>
      </c>
      <c r="C998" s="0" t="n">
        <v>20.6</v>
      </c>
      <c r="D998" s="0" t="n">
        <v>13.513</v>
      </c>
      <c r="E998" s="0" t="n">
        <v>23.723</v>
      </c>
      <c r="F998" s="0" t="n">
        <v>0.2041</v>
      </c>
      <c r="G998" s="12" t="n">
        <f aca="false">(A998+(C998*D998*COS(RADIANS(E998))^2-F998*C998*D998)*TAN(RADIANS(B998)))/(C998*D998*SIN(RADIANS(E998))*COS(RADIANS(E998)))</f>
        <v>1.37436107997247</v>
      </c>
    </row>
    <row r="999" customFormat="false" ht="15" hidden="false" customHeight="false" outlineLevel="0" collapsed="false">
      <c r="A999" s="0" t="n">
        <v>15.892</v>
      </c>
      <c r="B999" s="0" t="n">
        <v>41.092</v>
      </c>
      <c r="C999" s="0" t="n">
        <v>18.336</v>
      </c>
      <c r="D999" s="0" t="n">
        <v>11.233</v>
      </c>
      <c r="E999" s="0" t="n">
        <v>30.633</v>
      </c>
      <c r="F999" s="0" t="n">
        <v>0.0939</v>
      </c>
      <c r="G999" s="12" t="n">
        <f aca="false">(A999+(C999*D999*COS(RADIANS(E999))^2-F999*C999*D999)*TAN(RADIANS(B999)))/(C999*D999*SIN(RADIANS(E999))*COS(RADIANS(E999)))</f>
        <v>1.46192379268551</v>
      </c>
    </row>
    <row r="1000" customFormat="false" ht="15" hidden="false" customHeight="false" outlineLevel="0" collapsed="false">
      <c r="A1000" s="0" t="n">
        <v>17.467</v>
      </c>
      <c r="B1000" s="0" t="n">
        <v>32.65</v>
      </c>
      <c r="C1000" s="0" t="n">
        <v>20.176</v>
      </c>
      <c r="D1000" s="0" t="n">
        <v>19.493</v>
      </c>
      <c r="E1000" s="0" t="n">
        <v>29.291</v>
      </c>
      <c r="F1000" s="0" t="n">
        <v>0.0551</v>
      </c>
      <c r="G1000" s="12" t="n">
        <f aca="false">(A1000+(C1000*D1000*COS(RADIANS(E1000))^2-F1000*C1000*D1000)*TAN(RADIANS(B1000)))/(C1000*D1000*SIN(RADIANS(E1000))*COS(RADIANS(E1000)))</f>
        <v>1.16357837039646</v>
      </c>
    </row>
    <row r="1001" customFormat="false" ht="15" hidden="false" customHeight="false" outlineLevel="0" collapsed="false">
      <c r="A1001" s="0" t="n">
        <v>11.001</v>
      </c>
      <c r="B1001" s="0" t="n">
        <v>30.163</v>
      </c>
      <c r="C1001" s="0" t="n">
        <v>22.006</v>
      </c>
      <c r="D1001" s="0" t="n">
        <v>15.456</v>
      </c>
      <c r="E1001" s="0" t="n">
        <v>28.424</v>
      </c>
      <c r="F1001" s="0" t="n">
        <v>0.0925</v>
      </c>
      <c r="G1001" s="12" t="n">
        <f aca="false">(A1001+(C1001*D1001*COS(RADIANS(E1001))^2-F1001*C1001*D1001)*TAN(RADIANS(B1001)))/(C1001*D1001*SIN(RADIANS(E1001))*COS(RADIANS(E1001)))</f>
        <v>1.02258777363086</v>
      </c>
    </row>
    <row r="1002" customFormat="false" ht="15" hidden="false" customHeight="false" outlineLevel="0" collapsed="false">
      <c r="A1002" s="0" t="n">
        <v>10.834</v>
      </c>
      <c r="B1002" s="0" t="n">
        <v>32.117</v>
      </c>
      <c r="C1002" s="0" t="n">
        <v>18.325</v>
      </c>
      <c r="D1002" s="0" t="n">
        <v>13.579</v>
      </c>
      <c r="E1002" s="0" t="n">
        <v>30.726</v>
      </c>
      <c r="F1002" s="0" t="n">
        <v>0.0273</v>
      </c>
      <c r="G1002" s="12" t="n">
        <f aca="false">(A1002+(C1002*D1002*COS(RADIANS(E1002))^2-F1002*C1002*D1002)*TAN(RADIANS(B1002)))/(C1002*D1002*SIN(RADIANS(E1002))*COS(RADIANS(E1002)))</f>
        <v>1.11620950275518</v>
      </c>
    </row>
    <row r="1003" customFormat="false" ht="15" hidden="false" customHeight="false" outlineLevel="0" collapsed="false">
      <c r="A1003" s="0" t="n">
        <v>19.419</v>
      </c>
      <c r="B1003" s="0" t="n">
        <v>33.629</v>
      </c>
      <c r="C1003" s="0" t="n">
        <v>19.778</v>
      </c>
      <c r="D1003" s="0" t="n">
        <v>12.896</v>
      </c>
      <c r="E1003" s="0" t="n">
        <v>28.6</v>
      </c>
      <c r="F1003" s="0" t="n">
        <v>0.1466</v>
      </c>
      <c r="G1003" s="12" t="n">
        <f aca="false">(A1003+(C1003*D1003*COS(RADIANS(E1003))^2-F1003*C1003*D1003)*TAN(RADIANS(B1003)))/(C1003*D1003*SIN(RADIANS(E1003))*COS(RADIANS(E1003)))</f>
        <v>1.16908028690508</v>
      </c>
    </row>
    <row r="1004" customFormat="false" ht="15" hidden="false" customHeight="false" outlineLevel="0" collapsed="false">
      <c r="A1004" s="0" t="n">
        <v>13.351</v>
      </c>
      <c r="B1004" s="0" t="n">
        <v>37.75</v>
      </c>
      <c r="C1004" s="0" t="n">
        <v>19.736</v>
      </c>
      <c r="D1004" s="0" t="n">
        <v>15.551</v>
      </c>
      <c r="E1004" s="0" t="n">
        <v>27.308</v>
      </c>
      <c r="F1004" s="0" t="n">
        <v>0.1743</v>
      </c>
      <c r="G1004" s="12" t="n">
        <f aca="false">(A1004+(C1004*D1004*COS(RADIANS(E1004))^2-F1004*C1004*D1004)*TAN(RADIANS(B1004)))/(C1004*D1004*SIN(RADIANS(E1004))*COS(RADIANS(E1004)))</f>
        <v>1.27527742102864</v>
      </c>
    </row>
    <row r="1005" customFormat="false" ht="15" hidden="false" customHeight="false" outlineLevel="0" collapsed="false">
      <c r="A1005" s="0" t="n">
        <v>9.333</v>
      </c>
      <c r="B1005" s="0" t="n">
        <v>38.775</v>
      </c>
      <c r="C1005" s="0" t="n">
        <v>19.996</v>
      </c>
      <c r="D1005" s="0" t="n">
        <v>14.48</v>
      </c>
      <c r="E1005" s="0" t="n">
        <v>28.055</v>
      </c>
      <c r="F1005" s="0" t="n">
        <v>0.1186</v>
      </c>
      <c r="G1005" s="12" t="n">
        <f aca="false">(A1005+(C1005*D1005*COS(RADIANS(E1005))^2-F1005*C1005*D1005)*TAN(RADIANS(B1005)))/(C1005*D1005*SIN(RADIANS(E1005))*COS(RADIANS(E1005)))</f>
        <v>1.35542113295509</v>
      </c>
    </row>
    <row r="1006" customFormat="false" ht="15" hidden="false" customHeight="false" outlineLevel="0" collapsed="false">
      <c r="A1006" s="0" t="n">
        <v>16.775</v>
      </c>
      <c r="B1006" s="0" t="n">
        <v>32.646</v>
      </c>
      <c r="C1006" s="0" t="n">
        <v>18.558</v>
      </c>
      <c r="D1006" s="0" t="n">
        <v>11.39</v>
      </c>
      <c r="E1006" s="0" t="n">
        <v>26.451</v>
      </c>
      <c r="F1006" s="0" t="n">
        <v>0.0632</v>
      </c>
      <c r="G1006" s="12" t="n">
        <f aca="false">(A1006+(C1006*D1006*COS(RADIANS(E1006))^2-F1006*C1006*D1006)*TAN(RADIANS(B1006)))/(C1006*D1006*SIN(RADIANS(E1006))*COS(RADIANS(E1006)))</f>
        <v>1.38518931334007</v>
      </c>
    </row>
    <row r="1007" customFormat="false" ht="15" hidden="false" customHeight="false" outlineLevel="0" collapsed="false">
      <c r="A1007" s="0" t="n">
        <v>16.853</v>
      </c>
      <c r="B1007" s="0" t="n">
        <v>33.178</v>
      </c>
      <c r="C1007" s="0" t="n">
        <v>19.722</v>
      </c>
      <c r="D1007" s="0" t="n">
        <v>17.796</v>
      </c>
      <c r="E1007" s="0" t="n">
        <v>31.78</v>
      </c>
      <c r="F1007" s="0" t="n">
        <v>0.1201</v>
      </c>
      <c r="G1007" s="12" t="n">
        <f aca="false">(A1007+(C1007*D1007*COS(RADIANS(E1007))^2-F1007*C1007*D1007)*TAN(RADIANS(B1007)))/(C1007*D1007*SIN(RADIANS(E1007))*COS(RADIANS(E1007)))</f>
        <v>0.987205255132806</v>
      </c>
    </row>
    <row r="1008" customFormat="false" ht="15" hidden="false" customHeight="false" outlineLevel="0" collapsed="false">
      <c r="A1008" s="0" t="n">
        <v>8.877</v>
      </c>
      <c r="B1008" s="0" t="n">
        <v>33.677</v>
      </c>
      <c r="C1008" s="0" t="n">
        <v>20.446</v>
      </c>
      <c r="D1008" s="0" t="n">
        <v>8.576</v>
      </c>
      <c r="E1008" s="0" t="n">
        <v>26.117</v>
      </c>
      <c r="F1008" s="0" t="n">
        <v>0.1725</v>
      </c>
      <c r="G1008" s="12" t="n">
        <f aca="false">(A1008+(C1008*D1008*COS(RADIANS(E1008))^2-F1008*C1008*D1008)*TAN(RADIANS(B1008)))/(C1008*D1008*SIN(RADIANS(E1008))*COS(RADIANS(E1008)))</f>
        <v>1.19642109762759</v>
      </c>
    </row>
    <row r="1009" customFormat="false" ht="15" hidden="false" customHeight="false" outlineLevel="0" collapsed="false">
      <c r="A1009" s="0" t="n">
        <v>15.918</v>
      </c>
      <c r="B1009" s="0" t="n">
        <v>35.142</v>
      </c>
      <c r="C1009" s="0" t="n">
        <v>20.379</v>
      </c>
      <c r="D1009" s="0" t="n">
        <v>11.49</v>
      </c>
      <c r="E1009" s="0" t="n">
        <v>25.711</v>
      </c>
      <c r="F1009" s="0" t="n">
        <v>0.3185</v>
      </c>
      <c r="G1009" s="12" t="n">
        <f aca="false">(A1009+(C1009*D1009*COS(RADIANS(E1009))^2-F1009*C1009*D1009)*TAN(RADIANS(B1009)))/(C1009*D1009*SIN(RADIANS(E1009))*COS(RADIANS(E1009)))</f>
        <v>1.06224681160188</v>
      </c>
    </row>
    <row r="1010" customFormat="false" ht="15" hidden="false" customHeight="false" outlineLevel="0" collapsed="false">
      <c r="A1010" s="0" t="n">
        <v>17.942</v>
      </c>
      <c r="B1010" s="0" t="n">
        <v>35.017</v>
      </c>
      <c r="C1010" s="0" t="n">
        <v>19.032</v>
      </c>
      <c r="D1010" s="0" t="n">
        <v>16.526</v>
      </c>
      <c r="E1010" s="0" t="n">
        <v>28.638</v>
      </c>
      <c r="F1010" s="0" t="n">
        <v>0.2144</v>
      </c>
      <c r="G1010" s="12" t="n">
        <f aca="false">(A1010+(C1010*D1010*COS(RADIANS(E1010))^2-F1010*C1010*D1010)*TAN(RADIANS(B1010)))/(C1010*D1010*SIN(RADIANS(E1010))*COS(RADIANS(E1010)))</f>
        <v>1.06155262116393</v>
      </c>
    </row>
    <row r="1011" customFormat="false" ht="15" hidden="false" customHeight="false" outlineLevel="0" collapsed="false">
      <c r="A1011" s="0" t="n">
        <v>16.498</v>
      </c>
      <c r="B1011" s="0" t="n">
        <v>36.098</v>
      </c>
      <c r="C1011" s="0" t="n">
        <v>18.589</v>
      </c>
      <c r="D1011" s="0" t="n">
        <v>18.567</v>
      </c>
      <c r="E1011" s="0" t="n">
        <v>29.404</v>
      </c>
      <c r="F1011" s="0" t="n">
        <v>0.0921</v>
      </c>
      <c r="G1011" s="12" t="n">
        <f aca="false">(A1011+(C1011*D1011*COS(RADIANS(E1011))^2-F1011*C1011*D1011)*TAN(RADIANS(B1011)))/(C1011*D1011*SIN(RADIANS(E1011))*COS(RADIANS(E1011)))</f>
        <v>1.24858609538487</v>
      </c>
    </row>
    <row r="1012" customFormat="false" ht="15" hidden="false" customHeight="false" outlineLevel="0" collapsed="false">
      <c r="A1012" s="0" t="n">
        <v>17.528</v>
      </c>
      <c r="B1012" s="0" t="n">
        <v>32.174</v>
      </c>
      <c r="C1012" s="0" t="n">
        <v>20.123</v>
      </c>
      <c r="D1012" s="0" t="n">
        <v>9.628</v>
      </c>
      <c r="E1012" s="0" t="n">
        <v>28.493</v>
      </c>
      <c r="F1012" s="0" t="n">
        <v>0.106</v>
      </c>
      <c r="G1012" s="12" t="n">
        <f aca="false">(A1012+(C1012*D1012*COS(RADIANS(E1012))^2-F1012*C1012*D1012)*TAN(RADIANS(B1012)))/(C1012*D1012*SIN(RADIANS(E1012))*COS(RADIANS(E1012)))</f>
        <v>1.21572595756404</v>
      </c>
    </row>
    <row r="1013" customFormat="false" ht="15" hidden="false" customHeight="false" outlineLevel="0" collapsed="false">
      <c r="A1013" s="0" t="n">
        <v>9.383</v>
      </c>
      <c r="B1013" s="0" t="n">
        <v>31.787</v>
      </c>
      <c r="C1013" s="0" t="n">
        <v>20.18</v>
      </c>
      <c r="D1013" s="0" t="n">
        <v>16.262</v>
      </c>
      <c r="E1013" s="0" t="n">
        <v>26.515</v>
      </c>
      <c r="F1013" s="0" t="n">
        <v>0.0353</v>
      </c>
      <c r="G1013" s="12" t="n">
        <f aca="false">(A1013+(C1013*D1013*COS(RADIANS(E1013))^2-F1013*C1013*D1013)*TAN(RADIANS(B1013)))/(C1013*D1013*SIN(RADIANS(E1013))*COS(RADIANS(E1013)))</f>
        <v>1.25894869534078</v>
      </c>
    </row>
    <row r="1014" customFormat="false" ht="15" hidden="false" customHeight="false" outlineLevel="0" collapsed="false">
      <c r="A1014" s="0" t="n">
        <v>16.324</v>
      </c>
      <c r="B1014" s="0" t="n">
        <v>32.398</v>
      </c>
      <c r="C1014" s="0" t="n">
        <v>21.111</v>
      </c>
      <c r="D1014" s="0" t="n">
        <v>14.508</v>
      </c>
      <c r="E1014" s="0" t="n">
        <v>25.383</v>
      </c>
      <c r="F1014" s="0" t="n">
        <v>0.1704</v>
      </c>
      <c r="G1014" s="12" t="n">
        <f aca="false">(A1014+(C1014*D1014*COS(RADIANS(E1014))^2-F1014*C1014*D1014)*TAN(RADIANS(B1014)))/(C1014*D1014*SIN(RADIANS(E1014))*COS(RADIANS(E1014)))</f>
        <v>1.19584314569862</v>
      </c>
    </row>
    <row r="1015" customFormat="false" ht="15" hidden="false" customHeight="false" outlineLevel="0" collapsed="false">
      <c r="A1015" s="0" t="n">
        <v>13.79</v>
      </c>
      <c r="B1015" s="0" t="n">
        <v>35.132</v>
      </c>
      <c r="C1015" s="0" t="n">
        <v>20.763</v>
      </c>
      <c r="D1015" s="0" t="n">
        <v>17.539</v>
      </c>
      <c r="E1015" s="0" t="n">
        <v>27.199</v>
      </c>
      <c r="F1015" s="0" t="n">
        <v>0.2137</v>
      </c>
      <c r="G1015" s="12" t="n">
        <f aca="false">(A1015+(C1015*D1015*COS(RADIANS(E1015))^2-F1015*C1015*D1015)*TAN(RADIANS(B1015)))/(C1015*D1015*SIN(RADIANS(E1015))*COS(RADIANS(E1015)))</f>
        <v>1.09247762579161</v>
      </c>
    </row>
    <row r="1016" customFormat="false" ht="15" hidden="false" customHeight="false" outlineLevel="0" collapsed="false">
      <c r="A1016" s="0" t="n">
        <v>13.069</v>
      </c>
      <c r="B1016" s="0" t="n">
        <v>31.341</v>
      </c>
      <c r="C1016" s="0" t="n">
        <v>21.688</v>
      </c>
      <c r="D1016" s="0" t="n">
        <v>13.938</v>
      </c>
      <c r="E1016" s="0" t="n">
        <v>27.895</v>
      </c>
      <c r="F1016" s="0" t="n">
        <v>0.1156</v>
      </c>
      <c r="G1016" s="12" t="n">
        <f aca="false">(A1016+(C1016*D1016*COS(RADIANS(E1016))^2-F1016*C1016*D1016)*TAN(RADIANS(B1016)))/(C1016*D1016*SIN(RADIANS(E1016))*COS(RADIANS(E1016)))</f>
        <v>1.08472684188548</v>
      </c>
    </row>
    <row r="1017" customFormat="false" ht="15" hidden="false" customHeight="false" outlineLevel="0" collapsed="false">
      <c r="A1017" s="0" t="n">
        <v>18.482</v>
      </c>
      <c r="B1017" s="0" t="n">
        <v>32.297</v>
      </c>
      <c r="C1017" s="0" t="n">
        <v>19.601</v>
      </c>
      <c r="D1017" s="0" t="n">
        <v>13.772</v>
      </c>
      <c r="E1017" s="0" t="n">
        <v>25.07</v>
      </c>
      <c r="F1017" s="0" t="n">
        <v>0.0264</v>
      </c>
      <c r="G1017" s="12" t="n">
        <f aca="false">(A1017+(C1017*D1017*COS(RADIANS(E1017))^2-F1017*C1017*D1017)*TAN(RADIANS(B1017)))/(C1017*D1017*SIN(RADIANS(E1017))*COS(RADIANS(E1017)))</f>
        <v>1.48613882612801</v>
      </c>
    </row>
    <row r="1018" customFormat="false" ht="15" hidden="false" customHeight="false" outlineLevel="0" collapsed="false">
      <c r="A1018" s="0" t="n">
        <v>20.917</v>
      </c>
      <c r="B1018" s="0" t="n">
        <v>36.538</v>
      </c>
      <c r="C1018" s="0" t="n">
        <v>19.775</v>
      </c>
      <c r="D1018" s="0" t="n">
        <v>17.154</v>
      </c>
      <c r="E1018" s="0" t="n">
        <v>27.482</v>
      </c>
      <c r="F1018" s="0" t="n">
        <v>0.1433</v>
      </c>
      <c r="G1018" s="12" t="n">
        <f aca="false">(A1018+(C1018*D1018*COS(RADIANS(E1018))^2-F1018*C1018*D1018)*TAN(RADIANS(B1018)))/(C1018*D1018*SIN(RADIANS(E1018))*COS(RADIANS(E1018)))</f>
        <v>1.31576756725885</v>
      </c>
    </row>
    <row r="1019" customFormat="false" ht="15" hidden="false" customHeight="false" outlineLevel="0" collapsed="false">
      <c r="A1019" s="0" t="n">
        <v>22.177</v>
      </c>
      <c r="B1019" s="0" t="n">
        <v>39.41</v>
      </c>
      <c r="C1019" s="0" t="n">
        <v>19.75</v>
      </c>
      <c r="D1019" s="0" t="n">
        <v>20.684</v>
      </c>
      <c r="E1019" s="0" t="n">
        <v>26.928</v>
      </c>
      <c r="F1019" s="0" t="n">
        <v>0.1285</v>
      </c>
      <c r="G1019" s="12" t="n">
        <f aca="false">(A1019+(C1019*D1019*COS(RADIANS(E1019))^2-F1019*C1019*D1019)*TAN(RADIANS(B1019)))/(C1019*D1019*SIN(RADIANS(E1019))*COS(RADIANS(E1019)))</f>
        <v>1.49064706360051</v>
      </c>
    </row>
    <row r="1020" customFormat="false" ht="15" hidden="false" customHeight="false" outlineLevel="0" collapsed="false">
      <c r="A1020" s="0" t="n">
        <v>20.259</v>
      </c>
      <c r="B1020" s="0" t="n">
        <v>36.166</v>
      </c>
      <c r="C1020" s="0" t="n">
        <v>19.071</v>
      </c>
      <c r="D1020" s="0" t="n">
        <v>13.293</v>
      </c>
      <c r="E1020" s="0" t="n">
        <v>28.414</v>
      </c>
      <c r="F1020" s="0" t="n">
        <v>0</v>
      </c>
      <c r="G1020" s="12" t="n">
        <f aca="false">(A1020+(C1020*D1020*COS(RADIANS(E1020))^2-F1020*C1020*D1020)*TAN(RADIANS(B1020)))/(C1020*D1020*SIN(RADIANS(E1020))*COS(RADIANS(E1020)))</f>
        <v>1.54207277598892</v>
      </c>
    </row>
    <row r="1021" customFormat="false" ht="15" hidden="false" customHeight="false" outlineLevel="0" collapsed="false">
      <c r="A1021" s="0" t="n">
        <v>14.561</v>
      </c>
      <c r="B1021" s="0" t="n">
        <v>31.738</v>
      </c>
      <c r="C1021" s="0" t="n">
        <v>21.02</v>
      </c>
      <c r="D1021" s="0" t="n">
        <v>14.772</v>
      </c>
      <c r="E1021" s="0" t="n">
        <v>24.478</v>
      </c>
      <c r="F1021" s="0" t="n">
        <v>0.1252</v>
      </c>
      <c r="G1021" s="12" t="n">
        <f aca="false">(A1021+(C1021*D1021*COS(RADIANS(E1021))^2-F1021*C1021*D1021)*TAN(RADIANS(B1021)))/(C1021*D1021*SIN(RADIANS(E1021))*COS(RADIANS(E1021)))</f>
        <v>1.27761974942908</v>
      </c>
    </row>
    <row r="1022" customFormat="false" ht="15" hidden="false" customHeight="false" outlineLevel="0" collapsed="false">
      <c r="A1022" s="0" t="n">
        <v>16.411</v>
      </c>
      <c r="B1022" s="0" t="n">
        <v>37.077</v>
      </c>
      <c r="C1022" s="0" t="n">
        <v>20.939</v>
      </c>
      <c r="D1022" s="0" t="n">
        <v>15.636</v>
      </c>
      <c r="E1022" s="0" t="n">
        <v>26.75</v>
      </c>
      <c r="F1022" s="0" t="n">
        <v>0.2674</v>
      </c>
      <c r="G1022" s="12" t="n">
        <f aca="false">(A1022+(C1022*D1022*COS(RADIANS(E1022))^2-F1022*C1022*D1022)*TAN(RADIANS(B1022)))/(C1022*D1022*SIN(RADIANS(E1022))*COS(RADIANS(E1022)))</f>
        <v>1.12118221247416</v>
      </c>
    </row>
    <row r="1023" customFormat="false" ht="15" hidden="false" customHeight="false" outlineLevel="0" collapsed="false">
      <c r="A1023" s="0" t="n">
        <v>18.067</v>
      </c>
      <c r="B1023" s="0" t="n">
        <v>33.283</v>
      </c>
      <c r="C1023" s="0" t="n">
        <v>19.831</v>
      </c>
      <c r="D1023" s="0" t="n">
        <v>20.166</v>
      </c>
      <c r="E1023" s="0" t="n">
        <v>24.741</v>
      </c>
      <c r="F1023" s="0" t="n">
        <v>0.1461</v>
      </c>
      <c r="G1023" s="12" t="n">
        <f aca="false">(A1023+(C1023*D1023*COS(RADIANS(E1023))^2-F1023*C1023*D1023)*TAN(RADIANS(B1023)))/(C1023*D1023*SIN(RADIANS(E1023))*COS(RADIANS(E1023)))</f>
        <v>1.29107894370665</v>
      </c>
    </row>
    <row r="1024" customFormat="false" ht="15" hidden="false" customHeight="false" outlineLevel="0" collapsed="false">
      <c r="A1024" s="0" t="n">
        <v>15.485</v>
      </c>
      <c r="B1024" s="0" t="n">
        <v>39.21</v>
      </c>
      <c r="C1024" s="0" t="n">
        <v>21.176</v>
      </c>
      <c r="D1024" s="0" t="n">
        <v>14.593</v>
      </c>
      <c r="E1024" s="0" t="n">
        <v>28.121</v>
      </c>
      <c r="F1024" s="0" t="n">
        <v>0.1919</v>
      </c>
      <c r="G1024" s="12" t="n">
        <f aca="false">(A1024+(C1024*D1024*COS(RADIANS(E1024))^2-F1024*C1024*D1024)*TAN(RADIANS(B1024)))/(C1024*D1024*SIN(RADIANS(E1024))*COS(RADIANS(E1024)))</f>
        <v>1.27055271100527</v>
      </c>
    </row>
    <row r="1025" customFormat="false" ht="15" hidden="false" customHeight="false" outlineLevel="0" collapsed="false">
      <c r="A1025" s="0" t="n">
        <v>15.523</v>
      </c>
      <c r="B1025" s="0" t="n">
        <v>36.293</v>
      </c>
      <c r="C1025" s="0" t="n">
        <v>19.492</v>
      </c>
      <c r="D1025" s="0" t="n">
        <v>16.034</v>
      </c>
      <c r="E1025" s="0" t="n">
        <v>27.794</v>
      </c>
      <c r="F1025" s="0" t="n">
        <v>0.123</v>
      </c>
      <c r="G1025" s="12" t="n">
        <f aca="false">(A1025+(C1025*D1025*COS(RADIANS(E1025))^2-F1025*C1025*D1025)*TAN(RADIANS(B1025)))/(C1025*D1025*SIN(RADIANS(E1025))*COS(RADIANS(E1025)))</f>
        <v>1.29466527262872</v>
      </c>
    </row>
    <row r="1026" customFormat="false" ht="15" hidden="false" customHeight="false" outlineLevel="0" collapsed="false">
      <c r="A1026" s="0" t="n">
        <v>18.295</v>
      </c>
      <c r="B1026" s="0" t="n">
        <v>32.453</v>
      </c>
      <c r="C1026" s="0" t="n">
        <v>19.196</v>
      </c>
      <c r="D1026" s="0" t="n">
        <v>15.843</v>
      </c>
      <c r="E1026" s="0" t="n">
        <v>32.318</v>
      </c>
      <c r="F1026" s="0" t="n">
        <v>0</v>
      </c>
      <c r="G1026" s="12" t="n">
        <f aca="false">(A1026+(C1026*D1026*COS(RADIANS(E1026))^2-F1026*C1026*D1026)*TAN(RADIANS(B1026)))/(C1026*D1026*SIN(RADIANS(E1026))*COS(RADIANS(E1026)))</f>
        <v>1.13837124931204</v>
      </c>
    </row>
    <row r="1027" customFormat="false" ht="15" hidden="false" customHeight="false" outlineLevel="0" collapsed="false">
      <c r="A1027" s="0" t="n">
        <v>14.763</v>
      </c>
      <c r="B1027" s="0" t="n">
        <v>35.362</v>
      </c>
      <c r="C1027" s="0" t="n">
        <v>21.494</v>
      </c>
      <c r="D1027" s="0" t="n">
        <v>16.788</v>
      </c>
      <c r="E1027" s="0" t="n">
        <v>28.483</v>
      </c>
      <c r="F1027" s="0" t="n">
        <v>0.122</v>
      </c>
      <c r="G1027" s="12" t="n">
        <f aca="false">(A1027+(C1027*D1027*COS(RADIANS(E1027))^2-F1027*C1027*D1027)*TAN(RADIANS(B1027)))/(C1027*D1027*SIN(RADIANS(E1027))*COS(RADIANS(E1027)))</f>
        <v>1.19902222596952</v>
      </c>
    </row>
    <row r="1028" customFormat="false" ht="15" hidden="false" customHeight="false" outlineLevel="0" collapsed="false">
      <c r="A1028" s="0" t="n">
        <v>12.083</v>
      </c>
      <c r="B1028" s="0" t="n">
        <v>30.797</v>
      </c>
      <c r="C1028" s="0" t="n">
        <v>20.55</v>
      </c>
      <c r="D1028" s="0" t="n">
        <v>10.762</v>
      </c>
      <c r="E1028" s="0" t="n">
        <v>30.383</v>
      </c>
      <c r="F1028" s="0" t="n">
        <v>0.0873</v>
      </c>
      <c r="G1028" s="12" t="n">
        <f aca="false">(A1028+(C1028*D1028*COS(RADIANS(E1028))^2-F1028*C1028*D1028)*TAN(RADIANS(B1028)))/(C1028*D1028*SIN(RADIANS(E1028))*COS(RADIANS(E1028)))</f>
        <v>1.02258994093444</v>
      </c>
    </row>
    <row r="1029" customFormat="false" ht="15" hidden="false" customHeight="false" outlineLevel="0" collapsed="false">
      <c r="A1029" s="0" t="n">
        <v>13.342</v>
      </c>
      <c r="B1029" s="0" t="n">
        <v>35.522</v>
      </c>
      <c r="C1029" s="0" t="n">
        <v>21.064</v>
      </c>
      <c r="D1029" s="0" t="n">
        <v>16.707</v>
      </c>
      <c r="E1029" s="0" t="n">
        <v>29.201</v>
      </c>
      <c r="F1029" s="0" t="n">
        <v>0.2635</v>
      </c>
      <c r="G1029" s="12" t="n">
        <f aca="false">(A1029+(C1029*D1029*COS(RADIANS(E1029))^2-F1029*C1029*D1029)*TAN(RADIANS(B1029)))/(C1029*D1029*SIN(RADIANS(E1029))*COS(RADIANS(E1029)))</f>
        <v>0.924601034349714</v>
      </c>
    </row>
    <row r="1030" customFormat="false" ht="15" hidden="false" customHeight="false" outlineLevel="0" collapsed="false">
      <c r="A1030" s="0" t="n">
        <v>17.536</v>
      </c>
      <c r="B1030" s="0" t="n">
        <v>34.203</v>
      </c>
      <c r="C1030" s="0" t="n">
        <v>20.18</v>
      </c>
      <c r="D1030" s="0" t="n">
        <v>11.758</v>
      </c>
      <c r="E1030" s="0" t="n">
        <v>27.612</v>
      </c>
      <c r="F1030" s="0" t="n">
        <v>0.1726</v>
      </c>
      <c r="G1030" s="12" t="n">
        <f aca="false">(A1030+(C1030*D1030*COS(RADIANS(E1030))^2-F1030*C1030*D1030)*TAN(RADIANS(B1030)))/(C1030*D1030*SIN(RADIANS(E1030))*COS(RADIANS(E1030)))</f>
        <v>1.19374598824163</v>
      </c>
    </row>
    <row r="1031" customFormat="false" ht="15" hidden="false" customHeight="false" outlineLevel="0" collapsed="false">
      <c r="A1031" s="0" t="n">
        <v>15.012</v>
      </c>
      <c r="B1031" s="0" t="n">
        <v>41.304</v>
      </c>
      <c r="C1031" s="0" t="n">
        <v>20.164</v>
      </c>
      <c r="D1031" s="0" t="n">
        <v>9.706</v>
      </c>
      <c r="E1031" s="0" t="n">
        <v>28.63</v>
      </c>
      <c r="F1031" s="0" t="n">
        <v>0.1214</v>
      </c>
      <c r="G1031" s="12" t="n">
        <f aca="false">(A1031+(C1031*D1031*COS(RADIANS(E1031))^2-F1031*C1031*D1031)*TAN(RADIANS(B1031)))/(C1031*D1031*SIN(RADIANS(E1031))*COS(RADIANS(E1031)))</f>
        <v>1.53829936739954</v>
      </c>
    </row>
    <row r="1032" customFormat="false" ht="15" hidden="false" customHeight="false" outlineLevel="0" collapsed="false">
      <c r="A1032" s="0" t="n">
        <v>16.361</v>
      </c>
      <c r="B1032" s="0" t="n">
        <v>35.629</v>
      </c>
      <c r="C1032" s="0" t="n">
        <v>20.851</v>
      </c>
      <c r="D1032" s="0" t="n">
        <v>15.581</v>
      </c>
      <c r="E1032" s="0" t="n">
        <v>27.045</v>
      </c>
      <c r="F1032" s="0" t="n">
        <v>0.2054</v>
      </c>
      <c r="G1032" s="12" t="n">
        <f aca="false">(A1032+(C1032*D1032*COS(RADIANS(E1032))^2-F1032*C1032*D1032)*TAN(RADIANS(B1032)))/(C1032*D1032*SIN(RADIANS(E1032))*COS(RADIANS(E1032)))</f>
        <v>1.16471596642119</v>
      </c>
    </row>
    <row r="1033" customFormat="false" ht="15" hidden="false" customHeight="false" outlineLevel="0" collapsed="false">
      <c r="A1033" s="0" t="n">
        <v>17.68</v>
      </c>
      <c r="B1033" s="0" t="n">
        <v>35.18</v>
      </c>
      <c r="C1033" s="0" t="n">
        <v>19.647</v>
      </c>
      <c r="D1033" s="0" t="n">
        <v>15.734</v>
      </c>
      <c r="E1033" s="0" t="n">
        <v>32.523</v>
      </c>
      <c r="F1033" s="0" t="n">
        <v>0.1193</v>
      </c>
      <c r="G1033" s="12" t="n">
        <f aca="false">(A1033+(C1033*D1033*COS(RADIANS(E1033))^2-F1033*C1033*D1033)*TAN(RADIANS(B1033)))/(C1033*D1033*SIN(RADIANS(E1033))*COS(RADIANS(E1033)))</f>
        <v>1.0461496635733</v>
      </c>
    </row>
    <row r="1034" customFormat="false" ht="15" hidden="false" customHeight="false" outlineLevel="0" collapsed="false">
      <c r="A1034" s="0" t="n">
        <v>13.501</v>
      </c>
      <c r="B1034" s="0" t="n">
        <v>27.839</v>
      </c>
      <c r="C1034" s="0" t="n">
        <v>20.352</v>
      </c>
      <c r="D1034" s="0" t="n">
        <v>17.026</v>
      </c>
      <c r="E1034" s="0" t="n">
        <v>27.025</v>
      </c>
      <c r="F1034" s="0" t="n">
        <v>0.2752</v>
      </c>
      <c r="G1034" s="12" t="n">
        <f aca="false">(A1034+(C1034*D1034*COS(RADIANS(E1034))^2-F1034*C1034*D1034)*TAN(RADIANS(B1034)))/(C1034*D1034*SIN(RADIANS(E1034))*COS(RADIANS(E1034)))</f>
        <v>0.772554634764884</v>
      </c>
    </row>
    <row r="1035" customFormat="false" ht="15" hidden="false" customHeight="false" outlineLevel="0" collapsed="false">
      <c r="A1035" s="0" t="n">
        <v>18.025</v>
      </c>
      <c r="B1035" s="0" t="n">
        <v>36.898</v>
      </c>
      <c r="C1035" s="0" t="n">
        <v>21.92</v>
      </c>
      <c r="D1035" s="0" t="n">
        <v>16.883</v>
      </c>
      <c r="E1035" s="0" t="n">
        <v>26.963</v>
      </c>
      <c r="F1035" s="0" t="n">
        <v>0.0816</v>
      </c>
      <c r="G1035" s="12" t="n">
        <f aca="false">(A1035+(C1035*D1035*COS(RADIANS(E1035))^2-F1035*C1035*D1035)*TAN(RADIANS(B1035)))/(C1035*D1035*SIN(RADIANS(E1035))*COS(RADIANS(E1035)))</f>
        <v>1.44474782747476</v>
      </c>
    </row>
    <row r="1036" customFormat="false" ht="15" hidden="false" customHeight="false" outlineLevel="0" collapsed="false">
      <c r="A1036" s="0" t="n">
        <v>16.515</v>
      </c>
      <c r="B1036" s="0" t="n">
        <v>38.506</v>
      </c>
      <c r="C1036" s="0" t="n">
        <v>20.404</v>
      </c>
      <c r="D1036" s="0" t="n">
        <v>15.821</v>
      </c>
      <c r="E1036" s="0" t="n">
        <v>25.828</v>
      </c>
      <c r="F1036" s="0" t="n">
        <v>0.2273</v>
      </c>
      <c r="G1036" s="12" t="n">
        <f aca="false">(A1036+(C1036*D1036*COS(RADIANS(E1036))^2-F1036*C1036*D1036)*TAN(RADIANS(B1036)))/(C1036*D1036*SIN(RADIANS(E1036))*COS(RADIANS(E1036)))</f>
        <v>1.31304768942879</v>
      </c>
    </row>
    <row r="1037" customFormat="false" ht="15" hidden="false" customHeight="false" outlineLevel="0" collapsed="false">
      <c r="A1037" s="0" t="n">
        <v>10.061</v>
      </c>
      <c r="B1037" s="0" t="n">
        <v>38.528</v>
      </c>
      <c r="C1037" s="0" t="n">
        <v>18.35</v>
      </c>
      <c r="D1037" s="0" t="n">
        <v>17.774</v>
      </c>
      <c r="E1037" s="0" t="n">
        <v>26.773</v>
      </c>
      <c r="F1037" s="0" t="n">
        <v>0.1354</v>
      </c>
      <c r="G1037" s="12" t="n">
        <f aca="false">(A1037+(C1037*D1037*COS(RADIANS(E1037))^2-F1037*C1037*D1037)*TAN(RADIANS(B1037)))/(C1037*D1037*SIN(RADIANS(E1037))*COS(RADIANS(E1037)))</f>
        <v>1.38675335526879</v>
      </c>
    </row>
    <row r="1038" customFormat="false" ht="15" hidden="false" customHeight="false" outlineLevel="0" collapsed="false">
      <c r="A1038" s="0" t="n">
        <v>20.769</v>
      </c>
      <c r="B1038" s="0" t="n">
        <v>34.629</v>
      </c>
      <c r="C1038" s="0" t="n">
        <v>19.788</v>
      </c>
      <c r="D1038" s="0" t="n">
        <v>16.235</v>
      </c>
      <c r="E1038" s="0" t="n">
        <v>29.634</v>
      </c>
      <c r="F1038" s="0" t="n">
        <v>0.2606</v>
      </c>
      <c r="G1038" s="12" t="n">
        <f aca="false">(A1038+(C1038*D1038*COS(RADIANS(E1038))^2-F1038*C1038*D1038)*TAN(RADIANS(B1038)))/(C1038*D1038*SIN(RADIANS(E1038))*COS(RADIANS(E1038)))</f>
        <v>0.945674684847743</v>
      </c>
    </row>
    <row r="1039" customFormat="false" ht="15" hidden="false" customHeight="false" outlineLevel="0" collapsed="false">
      <c r="A1039" s="0" t="n">
        <v>12.997</v>
      </c>
      <c r="B1039" s="0" t="n">
        <v>33.153</v>
      </c>
      <c r="C1039" s="0" t="n">
        <v>19.647</v>
      </c>
      <c r="D1039" s="0" t="n">
        <v>18.222</v>
      </c>
      <c r="E1039" s="0" t="n">
        <v>27.012</v>
      </c>
      <c r="F1039" s="0" t="n">
        <v>0.2676</v>
      </c>
      <c r="G1039" s="12" t="n">
        <f aca="false">(A1039+(C1039*D1039*COS(RADIANS(E1039))^2-F1039*C1039*D1039)*TAN(RADIANS(B1039)))/(C1039*D1039*SIN(RADIANS(E1039))*COS(RADIANS(E1039)))</f>
        <v>0.939059169682434</v>
      </c>
    </row>
    <row r="1040" customFormat="false" ht="15" hidden="false" customHeight="false" outlineLevel="0" collapsed="false">
      <c r="A1040" s="0" t="n">
        <v>8.38</v>
      </c>
      <c r="B1040" s="0" t="n">
        <v>38.728</v>
      </c>
      <c r="C1040" s="0" t="n">
        <v>19.823</v>
      </c>
      <c r="D1040" s="0" t="n">
        <v>18.565</v>
      </c>
      <c r="E1040" s="0" t="n">
        <v>28.757</v>
      </c>
      <c r="F1040" s="0" t="n">
        <v>0.1789</v>
      </c>
      <c r="G1040" s="12" t="n">
        <f aca="false">(A1040+(C1040*D1040*COS(RADIANS(E1040))^2-F1040*C1040*D1040)*TAN(RADIANS(B1040)))/(C1040*D1040*SIN(RADIANS(E1040))*COS(RADIANS(E1040)))</f>
        <v>1.17516764087822</v>
      </c>
    </row>
    <row r="1041" customFormat="false" ht="15" hidden="false" customHeight="false" outlineLevel="0" collapsed="false">
      <c r="A1041" s="0" t="n">
        <v>10.82</v>
      </c>
      <c r="B1041" s="0" t="n">
        <v>34.74</v>
      </c>
      <c r="C1041" s="0" t="n">
        <v>19.656</v>
      </c>
      <c r="D1041" s="0" t="n">
        <v>18.441</v>
      </c>
      <c r="E1041" s="0" t="n">
        <v>27.095</v>
      </c>
      <c r="F1041" s="0" t="n">
        <v>0.1158</v>
      </c>
      <c r="G1041" s="12" t="n">
        <f aca="false">(A1041+(C1041*D1041*COS(RADIANS(E1041))^2-F1041*C1041*D1041)*TAN(RADIANS(B1041)))/(C1041*D1041*SIN(RADIANS(E1041))*COS(RADIANS(E1041)))</f>
        <v>1.23101545652363</v>
      </c>
    </row>
    <row r="1042" customFormat="false" ht="15" hidden="false" customHeight="false" outlineLevel="0" collapsed="false">
      <c r="A1042" s="0" t="n">
        <v>10.916</v>
      </c>
      <c r="B1042" s="0" t="n">
        <v>34.892</v>
      </c>
      <c r="C1042" s="0" t="n">
        <v>20.543</v>
      </c>
      <c r="D1042" s="0" t="n">
        <v>15.791</v>
      </c>
      <c r="E1042" s="0" t="n">
        <v>29.402</v>
      </c>
      <c r="F1042" s="0" t="n">
        <v>0.0281</v>
      </c>
      <c r="G1042" s="12" t="n">
        <f aca="false">(A1042+(C1042*D1042*COS(RADIANS(E1042))^2-F1042*C1042*D1042)*TAN(RADIANS(B1042)))/(C1042*D1042*SIN(RADIANS(E1042))*COS(RADIANS(E1042)))</f>
        <v>1.27044636324465</v>
      </c>
    </row>
    <row r="1043" customFormat="false" ht="15" hidden="false" customHeight="false" outlineLevel="0" collapsed="false">
      <c r="A1043" s="0" t="n">
        <v>15.209</v>
      </c>
      <c r="B1043" s="0" t="n">
        <v>34.006</v>
      </c>
      <c r="C1043" s="0" t="n">
        <v>19.074</v>
      </c>
      <c r="D1043" s="0" t="n">
        <v>14.146</v>
      </c>
      <c r="E1043" s="0" t="n">
        <v>24.776</v>
      </c>
      <c r="F1043" s="0" t="n">
        <v>0.1109</v>
      </c>
      <c r="G1043" s="12" t="n">
        <f aca="false">(A1043+(C1043*D1043*COS(RADIANS(E1043))^2-F1043*C1043*D1043)*TAN(RADIANS(B1043)))/(C1043*D1043*SIN(RADIANS(E1043))*COS(RADIANS(E1043)))</f>
        <v>1.41321099596681</v>
      </c>
    </row>
    <row r="1044" customFormat="false" ht="15" hidden="false" customHeight="false" outlineLevel="0" collapsed="false">
      <c r="A1044" s="0" t="n">
        <v>13.905</v>
      </c>
      <c r="B1044" s="0" t="n">
        <v>28.259</v>
      </c>
      <c r="C1044" s="0" t="n">
        <v>19.936</v>
      </c>
      <c r="D1044" s="0" t="n">
        <v>19.129</v>
      </c>
      <c r="E1044" s="0" t="n">
        <v>29.798</v>
      </c>
      <c r="F1044" s="0" t="n">
        <v>0</v>
      </c>
      <c r="G1044" s="12" t="n">
        <f aca="false">(A1044+(C1044*D1044*COS(RADIANS(E1044))^2-F1044*C1044*D1044)*TAN(RADIANS(B1044)))/(C1044*D1044*SIN(RADIANS(E1044))*COS(RADIANS(E1044)))</f>
        <v>1.02319372709876</v>
      </c>
    </row>
    <row r="1045" customFormat="false" ht="15" hidden="false" customHeight="false" outlineLevel="0" collapsed="false">
      <c r="A1045" s="0" t="n">
        <v>13.653</v>
      </c>
      <c r="B1045" s="0" t="n">
        <v>32.537</v>
      </c>
      <c r="C1045" s="0" t="n">
        <v>20.168</v>
      </c>
      <c r="D1045" s="0" t="n">
        <v>15.239</v>
      </c>
      <c r="E1045" s="0" t="n">
        <v>24.046</v>
      </c>
      <c r="F1045" s="0" t="n">
        <v>0.1898</v>
      </c>
      <c r="G1045" s="12" t="n">
        <f aca="false">(A1045+(C1045*D1045*COS(RADIANS(E1045))^2-F1045*C1045*D1045)*TAN(RADIANS(B1045)))/(C1045*D1045*SIN(RADIANS(E1045))*COS(RADIANS(E1045)))</f>
        <v>1.22380377403012</v>
      </c>
    </row>
    <row r="1046" customFormat="false" ht="15" hidden="false" customHeight="false" outlineLevel="0" collapsed="false">
      <c r="A1046" s="0" t="n">
        <v>17.479</v>
      </c>
      <c r="B1046" s="0" t="n">
        <v>35.295</v>
      </c>
      <c r="C1046" s="0" t="n">
        <v>22.569</v>
      </c>
      <c r="D1046" s="0" t="n">
        <v>19.259</v>
      </c>
      <c r="E1046" s="0" t="n">
        <v>31.685</v>
      </c>
      <c r="F1046" s="0" t="n">
        <v>0.3278</v>
      </c>
      <c r="G1046" s="12" t="n">
        <f aca="false">(A1046+(C1046*D1046*COS(RADIANS(E1046))^2-F1046*C1046*D1046)*TAN(RADIANS(B1046)))/(C1046*D1046*SIN(RADIANS(E1046))*COS(RADIANS(E1046)))</f>
        <v>0.71766432538958</v>
      </c>
    </row>
    <row r="1047" customFormat="false" ht="15" hidden="false" customHeight="false" outlineLevel="0" collapsed="false">
      <c r="A1047" s="0" t="n">
        <v>16.36</v>
      </c>
      <c r="B1047" s="0" t="n">
        <v>36.799</v>
      </c>
      <c r="C1047" s="0" t="n">
        <v>20.25</v>
      </c>
      <c r="D1047" s="0" t="n">
        <v>12.103</v>
      </c>
      <c r="E1047" s="0" t="n">
        <v>26.027</v>
      </c>
      <c r="F1047" s="0" t="n">
        <v>0.0371</v>
      </c>
      <c r="G1047" s="12" t="n">
        <f aca="false">(A1047+(C1047*D1047*COS(RADIANS(E1047))^2-F1047*C1047*D1047)*TAN(RADIANS(B1047)))/(C1047*D1047*SIN(RADIANS(E1047))*COS(RADIANS(E1047)))</f>
        <v>1.63084239710158</v>
      </c>
    </row>
    <row r="1048" customFormat="false" ht="15" hidden="false" customHeight="false" outlineLevel="0" collapsed="false">
      <c r="A1048" s="0" t="n">
        <v>16.264</v>
      </c>
      <c r="B1048" s="0" t="n">
        <v>34.907</v>
      </c>
      <c r="C1048" s="0" t="n">
        <v>18.9</v>
      </c>
      <c r="D1048" s="0" t="n">
        <v>14.954</v>
      </c>
      <c r="E1048" s="0" t="n">
        <v>29.136</v>
      </c>
      <c r="F1048" s="0" t="n">
        <v>0.2596</v>
      </c>
      <c r="G1048" s="12" t="n">
        <f aca="false">(A1048+(C1048*D1048*COS(RADIANS(E1048))^2-F1048*C1048*D1048)*TAN(RADIANS(B1048)))/(C1048*D1048*SIN(RADIANS(E1048))*COS(RADIANS(E1048)))</f>
        <v>0.961194291617748</v>
      </c>
    </row>
    <row r="1049" customFormat="false" ht="15" hidden="false" customHeight="false" outlineLevel="0" collapsed="false">
      <c r="A1049" s="0" t="n">
        <v>16.639</v>
      </c>
      <c r="B1049" s="0" t="n">
        <v>36.617</v>
      </c>
      <c r="C1049" s="0" t="n">
        <v>18.732</v>
      </c>
      <c r="D1049" s="0" t="n">
        <v>18.197</v>
      </c>
      <c r="E1049" s="0" t="n">
        <v>28.779</v>
      </c>
      <c r="F1049" s="0" t="n">
        <v>0.2635</v>
      </c>
      <c r="G1049" s="12" t="n">
        <f aca="false">(A1049+(C1049*D1049*COS(RADIANS(E1049))^2-F1049*C1049*D1049)*TAN(RADIANS(B1049)))/(C1049*D1049*SIN(RADIANS(E1049))*COS(RADIANS(E1049)))</f>
        <v>1.00454784107608</v>
      </c>
    </row>
    <row r="1050" customFormat="false" ht="15" hidden="false" customHeight="false" outlineLevel="0" collapsed="false">
      <c r="A1050" s="0" t="n">
        <v>17.465</v>
      </c>
      <c r="B1050" s="0" t="n">
        <v>29.861</v>
      </c>
      <c r="C1050" s="0" t="n">
        <v>20.85</v>
      </c>
      <c r="D1050" s="0" t="n">
        <v>13.491</v>
      </c>
      <c r="E1050" s="0" t="n">
        <v>25.991</v>
      </c>
      <c r="F1050" s="0" t="n">
        <v>0.069</v>
      </c>
      <c r="G1050" s="12" t="n">
        <f aca="false">(A1050+(C1050*D1050*COS(RADIANS(E1050))^2-F1050*C1050*D1050)*TAN(RADIANS(B1050)))/(C1050*D1050*SIN(RADIANS(E1050))*COS(RADIANS(E1050)))</f>
        <v>1.23464710321459</v>
      </c>
    </row>
    <row r="1051" customFormat="false" ht="15" hidden="false" customHeight="false" outlineLevel="0" collapsed="false">
      <c r="A1051" s="0" t="n">
        <v>6.568</v>
      </c>
      <c r="B1051" s="0" t="n">
        <v>32.136</v>
      </c>
      <c r="C1051" s="0" t="n">
        <v>21.708</v>
      </c>
      <c r="D1051" s="0" t="n">
        <v>13.793</v>
      </c>
      <c r="E1051" s="0" t="n">
        <v>28.131</v>
      </c>
      <c r="F1051" s="0" t="n">
        <v>0.2135</v>
      </c>
      <c r="G1051" s="12" t="n">
        <f aca="false">(A1051+(C1051*D1051*COS(RADIANS(E1051))^2-F1051*C1051*D1051)*TAN(RADIANS(B1051)))/(C1051*D1051*SIN(RADIANS(E1051))*COS(RADIANS(E1051)))</f>
        <v>0.905139882579443</v>
      </c>
    </row>
    <row r="1052" customFormat="false" ht="15" hidden="false" customHeight="false" outlineLevel="0" collapsed="false">
      <c r="A1052" s="0" t="n">
        <v>13.542</v>
      </c>
      <c r="B1052" s="0" t="n">
        <v>41.908</v>
      </c>
      <c r="C1052" s="0" t="n">
        <v>18.574</v>
      </c>
      <c r="D1052" s="0" t="n">
        <v>11.678</v>
      </c>
      <c r="E1052" s="0" t="n">
        <v>25.008</v>
      </c>
      <c r="F1052" s="0" t="n">
        <v>0.121</v>
      </c>
      <c r="G1052" s="12" t="n">
        <f aca="false">(A1052+(C1052*D1052*COS(RADIANS(E1052))^2-F1052*C1052*D1052)*TAN(RADIANS(B1052)))/(C1052*D1052*SIN(RADIANS(E1052))*COS(RADIANS(E1052)))</f>
        <v>1.8034942047207</v>
      </c>
    </row>
    <row r="1053" customFormat="false" ht="15" hidden="false" customHeight="false" outlineLevel="0" collapsed="false">
      <c r="A1053" s="0" t="n">
        <v>6.279</v>
      </c>
      <c r="B1053" s="0" t="n">
        <v>37.121</v>
      </c>
      <c r="C1053" s="0" t="n">
        <v>20.602</v>
      </c>
      <c r="D1053" s="0" t="n">
        <v>14.813</v>
      </c>
      <c r="E1053" s="0" t="n">
        <v>31.037</v>
      </c>
      <c r="F1053" s="0" t="n">
        <v>0.0943</v>
      </c>
      <c r="G1053" s="12" t="n">
        <f aca="false">(A1053+(C1053*D1053*COS(RADIANS(E1053))^2-F1053*C1053*D1053)*TAN(RADIANS(B1053)))/(C1053*D1053*SIN(RADIANS(E1053))*COS(RADIANS(E1053)))</f>
        <v>1.14281763234598</v>
      </c>
    </row>
    <row r="1054" customFormat="false" ht="15" hidden="false" customHeight="false" outlineLevel="0" collapsed="false">
      <c r="A1054" s="0" t="n">
        <v>15.144</v>
      </c>
      <c r="B1054" s="0" t="n">
        <v>39.063</v>
      </c>
      <c r="C1054" s="0" t="n">
        <v>18.945</v>
      </c>
      <c r="D1054" s="0" t="n">
        <v>18.39</v>
      </c>
      <c r="E1054" s="0" t="n">
        <v>31.05</v>
      </c>
      <c r="F1054" s="0" t="n">
        <v>0.1689</v>
      </c>
      <c r="G1054" s="12" t="n">
        <f aca="false">(A1054+(C1054*D1054*COS(RADIANS(E1054))^2-F1054*C1054*D1054)*TAN(RADIANS(B1054)))/(C1054*D1054*SIN(RADIANS(E1054))*COS(RADIANS(E1054)))</f>
        <v>1.13622356976648</v>
      </c>
    </row>
    <row r="1055" customFormat="false" ht="15" hidden="false" customHeight="false" outlineLevel="0" collapsed="false">
      <c r="A1055" s="0" t="n">
        <v>14.981</v>
      </c>
      <c r="B1055" s="0" t="n">
        <v>34.185</v>
      </c>
      <c r="C1055" s="0" t="n">
        <v>19.915</v>
      </c>
      <c r="D1055" s="0" t="n">
        <v>14.377</v>
      </c>
      <c r="E1055" s="0" t="n">
        <v>25.668</v>
      </c>
      <c r="F1055" s="0" t="n">
        <v>0.323</v>
      </c>
      <c r="G1055" s="12" t="n">
        <f aca="false">(A1055+(C1055*D1055*COS(RADIANS(E1055))^2-F1055*C1055*D1055)*TAN(RADIANS(B1055)))/(C1055*D1055*SIN(RADIANS(E1055))*COS(RADIANS(E1055)))</f>
        <v>0.985409718574481</v>
      </c>
    </row>
    <row r="1056" customFormat="false" ht="15" hidden="false" customHeight="false" outlineLevel="0" collapsed="false">
      <c r="A1056" s="0" t="n">
        <v>19.182</v>
      </c>
      <c r="B1056" s="0" t="n">
        <v>38.093</v>
      </c>
      <c r="C1056" s="0" t="n">
        <v>21.287</v>
      </c>
      <c r="D1056" s="0" t="n">
        <v>12.539</v>
      </c>
      <c r="E1056" s="0" t="n">
        <v>27.947</v>
      </c>
      <c r="F1056" s="0" t="n">
        <v>0.208</v>
      </c>
      <c r="G1056" s="12" t="n">
        <f aca="false">(A1056+(C1056*D1056*COS(RADIANS(E1056))^2-F1056*C1056*D1056)*TAN(RADIANS(B1056)))/(C1056*D1056*SIN(RADIANS(E1056))*COS(RADIANS(E1056)))</f>
        <v>1.25734474955188</v>
      </c>
    </row>
    <row r="1057" customFormat="false" ht="15" hidden="false" customHeight="false" outlineLevel="0" collapsed="false">
      <c r="A1057" s="0" t="n">
        <v>19.751</v>
      </c>
      <c r="B1057" s="0" t="n">
        <v>37.976</v>
      </c>
      <c r="C1057" s="0" t="n">
        <v>19.857</v>
      </c>
      <c r="D1057" s="0" t="n">
        <v>17.722</v>
      </c>
      <c r="E1057" s="0" t="n">
        <v>31.111</v>
      </c>
      <c r="F1057" s="0" t="n">
        <v>0.3221</v>
      </c>
      <c r="G1057" s="12" t="n">
        <f aca="false">(A1057+(C1057*D1057*COS(RADIANS(E1057))^2-F1057*C1057*D1057)*TAN(RADIANS(B1057)))/(C1057*D1057*SIN(RADIANS(E1057))*COS(RADIANS(E1057)))</f>
        <v>0.851976418681484</v>
      </c>
    </row>
    <row r="1058" customFormat="false" ht="15" hidden="false" customHeight="false" outlineLevel="0" collapsed="false">
      <c r="A1058" s="0" t="n">
        <v>15.811</v>
      </c>
      <c r="B1058" s="0" t="n">
        <v>41.469</v>
      </c>
      <c r="C1058" s="0" t="n">
        <v>19.492</v>
      </c>
      <c r="D1058" s="0" t="n">
        <v>9.252</v>
      </c>
      <c r="E1058" s="0" t="n">
        <v>25.844</v>
      </c>
      <c r="F1058" s="0" t="n">
        <v>0.155</v>
      </c>
      <c r="G1058" s="12" t="n">
        <f aca="false">(A1058+(C1058*D1058*COS(RADIANS(E1058))^2-F1058*C1058*D1058)*TAN(RADIANS(B1058)))/(C1058*D1058*SIN(RADIANS(E1058))*COS(RADIANS(E1058)))</f>
        <v>1.69888427512252</v>
      </c>
    </row>
    <row r="1059" customFormat="false" ht="15" hidden="false" customHeight="false" outlineLevel="0" collapsed="false">
      <c r="A1059" s="0" t="n">
        <v>12.999</v>
      </c>
      <c r="B1059" s="0" t="n">
        <v>36.337</v>
      </c>
      <c r="C1059" s="0" t="n">
        <v>22.859</v>
      </c>
      <c r="D1059" s="0" t="n">
        <v>17.068</v>
      </c>
      <c r="E1059" s="0" t="n">
        <v>27.961</v>
      </c>
      <c r="F1059" s="0" t="n">
        <v>0.1157</v>
      </c>
      <c r="G1059" s="12" t="n">
        <f aca="false">(A1059+(C1059*D1059*COS(RADIANS(E1059))^2-F1059*C1059*D1059)*TAN(RADIANS(B1059)))/(C1059*D1059*SIN(RADIANS(E1059))*COS(RADIANS(E1059)))</f>
        <v>1.26062643532294</v>
      </c>
    </row>
    <row r="1060" customFormat="false" ht="15" hidden="false" customHeight="false" outlineLevel="0" collapsed="false">
      <c r="A1060" s="0" t="n">
        <v>16.941</v>
      </c>
      <c r="B1060" s="0" t="n">
        <v>31.862</v>
      </c>
      <c r="C1060" s="0" t="n">
        <v>21.933</v>
      </c>
      <c r="D1060" s="0" t="n">
        <v>15.001</v>
      </c>
      <c r="E1060" s="0" t="n">
        <v>30.423</v>
      </c>
      <c r="F1060" s="0" t="n">
        <v>0.1422</v>
      </c>
      <c r="G1060" s="12" t="n">
        <f aca="false">(A1060+(C1060*D1060*COS(RADIANS(E1060))^2-F1060*C1060*D1060)*TAN(RADIANS(B1060)))/(C1060*D1060*SIN(RADIANS(E1060))*COS(RADIANS(E1060)))</f>
        <v>0.973905206175113</v>
      </c>
    </row>
    <row r="1061" customFormat="false" ht="15" hidden="false" customHeight="false" outlineLevel="0" collapsed="false">
      <c r="A1061" s="0" t="n">
        <v>12.888</v>
      </c>
      <c r="B1061" s="0" t="n">
        <v>32.708</v>
      </c>
      <c r="C1061" s="0" t="n">
        <v>19.98</v>
      </c>
      <c r="D1061" s="0" t="n">
        <v>12.876</v>
      </c>
      <c r="E1061" s="0" t="n">
        <v>29.423</v>
      </c>
      <c r="F1061" s="0" t="n">
        <v>0.1466</v>
      </c>
      <c r="G1061" s="12" t="n">
        <f aca="false">(A1061+(C1061*D1061*COS(RADIANS(E1061))^2-F1061*C1061*D1061)*TAN(RADIANS(B1061)))/(C1061*D1061*SIN(RADIANS(E1061))*COS(RADIANS(E1061)))</f>
        <v>1.03568543900666</v>
      </c>
    </row>
    <row r="1062" customFormat="false" ht="15" hidden="false" customHeight="false" outlineLevel="0" collapsed="false">
      <c r="A1062" s="0" t="n">
        <v>14.994</v>
      </c>
      <c r="B1062" s="0" t="n">
        <v>35.914</v>
      </c>
      <c r="C1062" s="0" t="n">
        <v>20.169</v>
      </c>
      <c r="D1062" s="0" t="n">
        <v>15.712</v>
      </c>
      <c r="E1062" s="0" t="n">
        <v>26.774</v>
      </c>
      <c r="F1062" s="0" t="n">
        <v>0.157</v>
      </c>
      <c r="G1062" s="12" t="n">
        <f aca="false">(A1062+(C1062*D1062*COS(RADIANS(E1062))^2-F1062*C1062*D1062)*TAN(RADIANS(B1062)))/(C1062*D1062*SIN(RADIANS(E1062))*COS(RADIANS(E1062)))</f>
        <v>1.27031096055897</v>
      </c>
    </row>
    <row r="1063" customFormat="false" ht="15" hidden="false" customHeight="false" outlineLevel="0" collapsed="false">
      <c r="A1063" s="0" t="n">
        <v>18.945</v>
      </c>
      <c r="B1063" s="0" t="n">
        <v>27.178</v>
      </c>
      <c r="C1063" s="0" t="n">
        <v>19.604</v>
      </c>
      <c r="D1063" s="0" t="n">
        <v>12.581</v>
      </c>
      <c r="E1063" s="0" t="n">
        <v>27.645</v>
      </c>
      <c r="F1063" s="0" t="n">
        <v>0.2182</v>
      </c>
      <c r="G1063" s="12" t="n">
        <f aca="false">(A1063+(C1063*D1063*COS(RADIANS(E1063))^2-F1063*C1063*D1063)*TAN(RADIANS(B1063)))/(C1063*D1063*SIN(RADIANS(E1063))*COS(RADIANS(E1063)))</f>
        <v>0.894563176240849</v>
      </c>
    </row>
    <row r="1064" customFormat="false" ht="15" hidden="false" customHeight="false" outlineLevel="0" collapsed="false">
      <c r="A1064" s="0" t="n">
        <v>12.769</v>
      </c>
      <c r="B1064" s="0" t="n">
        <v>36.239</v>
      </c>
      <c r="C1064" s="0" t="n">
        <v>20.467</v>
      </c>
      <c r="D1064" s="0" t="n">
        <v>16.233</v>
      </c>
      <c r="E1064" s="0" t="n">
        <v>27.19</v>
      </c>
      <c r="F1064" s="0" t="n">
        <v>0.155</v>
      </c>
      <c r="G1064" s="12" t="n">
        <f aca="false">(A1064+(C1064*D1064*COS(RADIANS(E1064))^2-F1064*C1064*D1064)*TAN(RADIANS(B1064)))/(C1064*D1064*SIN(RADIANS(E1064))*COS(RADIANS(E1064)))</f>
        <v>1.24180181289271</v>
      </c>
    </row>
    <row r="1065" customFormat="false" ht="15" hidden="false" customHeight="false" outlineLevel="0" collapsed="false">
      <c r="A1065" s="0" t="n">
        <v>18.223</v>
      </c>
      <c r="B1065" s="0" t="n">
        <v>36.687</v>
      </c>
      <c r="C1065" s="0" t="n">
        <v>18.615</v>
      </c>
      <c r="D1065" s="0" t="n">
        <v>14.735</v>
      </c>
      <c r="E1065" s="0" t="n">
        <v>30.173</v>
      </c>
      <c r="F1065" s="0" t="n">
        <v>0.2494</v>
      </c>
      <c r="G1065" s="12" t="n">
        <f aca="false">(A1065+(C1065*D1065*COS(RADIANS(E1065))^2-F1065*C1065*D1065)*TAN(RADIANS(B1065)))/(C1065*D1065*SIN(RADIANS(E1065))*COS(RADIANS(E1065)))</f>
        <v>1.0067420634091</v>
      </c>
    </row>
    <row r="1066" customFormat="false" ht="15" hidden="false" customHeight="false" outlineLevel="0" collapsed="false">
      <c r="A1066" s="0" t="n">
        <v>17.71</v>
      </c>
      <c r="B1066" s="0" t="n">
        <v>39.444</v>
      </c>
      <c r="C1066" s="0" t="n">
        <v>20.812</v>
      </c>
      <c r="D1066" s="0" t="n">
        <v>15.152</v>
      </c>
      <c r="E1066" s="0" t="n">
        <v>29.142</v>
      </c>
      <c r="F1066" s="0" t="n">
        <v>0.0561</v>
      </c>
      <c r="G1066" s="12" t="n">
        <f aca="false">(A1066+(C1066*D1066*COS(RADIANS(E1066))^2-F1066*C1066*D1066)*TAN(RADIANS(B1066)))/(C1066*D1066*SIN(RADIANS(E1066))*COS(RADIANS(E1066)))</f>
        <v>1.49907612285073</v>
      </c>
    </row>
    <row r="1067" customFormat="false" ht="15" hidden="false" customHeight="false" outlineLevel="0" collapsed="false">
      <c r="A1067" s="0" t="n">
        <v>11.181</v>
      </c>
      <c r="B1067" s="0" t="n">
        <v>29.55</v>
      </c>
      <c r="C1067" s="0" t="n">
        <v>17.766</v>
      </c>
      <c r="D1067" s="0" t="n">
        <v>17.141</v>
      </c>
      <c r="E1067" s="0" t="n">
        <v>26.654</v>
      </c>
      <c r="F1067" s="0" t="n">
        <v>0.1283</v>
      </c>
      <c r="G1067" s="12" t="n">
        <f aca="false">(A1067+(C1067*D1067*COS(RADIANS(E1067))^2-F1067*C1067*D1067)*TAN(RADIANS(B1067)))/(C1067*D1067*SIN(RADIANS(E1067))*COS(RADIANS(E1067)))</f>
        <v>1.03962106730882</v>
      </c>
    </row>
    <row r="1068" customFormat="false" ht="15" hidden="false" customHeight="false" outlineLevel="0" collapsed="false">
      <c r="A1068" s="0" t="n">
        <v>18.896</v>
      </c>
      <c r="B1068" s="0" t="n">
        <v>31.669</v>
      </c>
      <c r="C1068" s="0" t="n">
        <v>20.93</v>
      </c>
      <c r="D1068" s="0" t="n">
        <v>11.145</v>
      </c>
      <c r="E1068" s="0" t="n">
        <v>27.56</v>
      </c>
      <c r="F1068" s="0" t="n">
        <v>0.1654</v>
      </c>
      <c r="G1068" s="12" t="n">
        <f aca="false">(A1068+(C1068*D1068*COS(RADIANS(E1068))^2-F1068*C1068*D1068)*TAN(RADIANS(B1068)))/(C1068*D1068*SIN(RADIANS(E1068))*COS(RADIANS(E1068)))</f>
        <v>1.13071033373777</v>
      </c>
    </row>
    <row r="1069" customFormat="false" ht="15" hidden="false" customHeight="false" outlineLevel="0" collapsed="false">
      <c r="A1069" s="0" t="n">
        <v>17.794</v>
      </c>
      <c r="B1069" s="0" t="n">
        <v>35.348</v>
      </c>
      <c r="C1069" s="0" t="n">
        <v>20.316</v>
      </c>
      <c r="D1069" s="0" t="n">
        <v>14.619</v>
      </c>
      <c r="E1069" s="0" t="n">
        <v>26.83</v>
      </c>
      <c r="F1069" s="0" t="n">
        <v>0.0335</v>
      </c>
      <c r="G1069" s="12" t="n">
        <f aca="false">(A1069+(C1069*D1069*COS(RADIANS(E1069))^2-F1069*C1069*D1069)*TAN(RADIANS(B1069)))/(C1069*D1069*SIN(RADIANS(E1069))*COS(RADIANS(E1069)))</f>
        <v>1.49210518914822</v>
      </c>
    </row>
    <row r="1070" customFormat="false" ht="15" hidden="false" customHeight="false" outlineLevel="0" collapsed="false">
      <c r="A1070" s="0" t="n">
        <v>15.408</v>
      </c>
      <c r="B1070" s="0" t="n">
        <v>34.87</v>
      </c>
      <c r="C1070" s="0" t="n">
        <v>18.736</v>
      </c>
      <c r="D1070" s="0" t="n">
        <v>18.326</v>
      </c>
      <c r="E1070" s="0" t="n">
        <v>26.168</v>
      </c>
      <c r="F1070" s="0" t="n">
        <v>0.234</v>
      </c>
      <c r="G1070" s="12" t="n">
        <f aca="false">(A1070+(C1070*D1070*COS(RADIANS(E1070))^2-F1070*C1070*D1070)*TAN(RADIANS(B1070)))/(C1070*D1070*SIN(RADIANS(E1070))*COS(RADIANS(E1070)))</f>
        <v>1.11955546376052</v>
      </c>
    </row>
    <row r="1071" customFormat="false" ht="15" hidden="false" customHeight="false" outlineLevel="0" collapsed="false">
      <c r="A1071" s="0" t="n">
        <v>11.951</v>
      </c>
      <c r="B1071" s="0" t="n">
        <v>35.061</v>
      </c>
      <c r="C1071" s="0" t="n">
        <v>21.266</v>
      </c>
      <c r="D1071" s="0" t="n">
        <v>16.333</v>
      </c>
      <c r="E1071" s="0" t="n">
        <v>26.172</v>
      </c>
      <c r="F1071" s="0" t="n">
        <v>0.0527</v>
      </c>
      <c r="G1071" s="12" t="n">
        <f aca="false">(A1071+(C1071*D1071*COS(RADIANS(E1071))^2-F1071*C1071*D1071)*TAN(RADIANS(B1071)))/(C1071*D1071*SIN(RADIANS(E1071))*COS(RADIANS(E1071)))</f>
        <v>1.42148716208239</v>
      </c>
    </row>
    <row r="1072" customFormat="false" ht="15" hidden="false" customHeight="false" outlineLevel="0" collapsed="false">
      <c r="A1072" s="0" t="n">
        <v>11.563</v>
      </c>
      <c r="B1072" s="0" t="n">
        <v>37.925</v>
      </c>
      <c r="C1072" s="0" t="n">
        <v>19.44</v>
      </c>
      <c r="D1072" s="0" t="n">
        <v>15.296</v>
      </c>
      <c r="E1072" s="0" t="n">
        <v>27.937</v>
      </c>
      <c r="F1072" s="0" t="n">
        <v>0.186</v>
      </c>
      <c r="G1072" s="12" t="n">
        <f aca="false">(A1072+(C1072*D1072*COS(RADIANS(E1072))^2-F1072*C1072*D1072)*TAN(RADIANS(B1072)))/(C1072*D1072*SIN(RADIANS(E1072))*COS(RADIANS(E1072)))</f>
        <v>1.21312111982219</v>
      </c>
    </row>
    <row r="1073" customFormat="false" ht="15" hidden="false" customHeight="false" outlineLevel="0" collapsed="false">
      <c r="A1073" s="0" t="n">
        <v>12.849</v>
      </c>
      <c r="B1073" s="0" t="n">
        <v>36.04</v>
      </c>
      <c r="C1073" s="0" t="n">
        <v>21.159</v>
      </c>
      <c r="D1073" s="0" t="n">
        <v>15.452</v>
      </c>
      <c r="E1073" s="0" t="n">
        <v>29.243</v>
      </c>
      <c r="F1073" s="0" t="n">
        <v>0.182</v>
      </c>
      <c r="G1073" s="12" t="n">
        <f aca="false">(A1073+(C1073*D1073*COS(RADIANS(E1073))^2-F1073*C1073*D1073)*TAN(RADIANS(B1073)))/(C1073*D1073*SIN(RADIANS(E1073))*COS(RADIANS(E1073)))</f>
        <v>1.08114059897083</v>
      </c>
    </row>
    <row r="1074" customFormat="false" ht="15" hidden="false" customHeight="false" outlineLevel="0" collapsed="false">
      <c r="A1074" s="0" t="n">
        <v>17.17</v>
      </c>
      <c r="B1074" s="0" t="n">
        <v>39.607</v>
      </c>
      <c r="C1074" s="0" t="n">
        <v>18.015</v>
      </c>
      <c r="D1074" s="0" t="n">
        <v>14.468</v>
      </c>
      <c r="E1074" s="0" t="n">
        <v>30.35</v>
      </c>
      <c r="F1074" s="0" t="n">
        <v>0.1451</v>
      </c>
      <c r="G1074" s="12" t="n">
        <f aca="false">(A1074+(C1074*D1074*COS(RADIANS(E1074))^2-F1074*C1074*D1074)*TAN(RADIANS(B1074)))/(C1074*D1074*SIN(RADIANS(E1074))*COS(RADIANS(E1074)))</f>
        <v>1.28894450116729</v>
      </c>
    </row>
    <row r="1075" customFormat="false" ht="15" hidden="false" customHeight="false" outlineLevel="0" collapsed="false">
      <c r="A1075" s="0" t="n">
        <v>11.177</v>
      </c>
      <c r="B1075" s="0" t="n">
        <v>38.611</v>
      </c>
      <c r="C1075" s="0" t="n">
        <v>18.755</v>
      </c>
      <c r="D1075" s="0" t="n">
        <v>14.968</v>
      </c>
      <c r="E1075" s="0" t="n">
        <v>29.506</v>
      </c>
      <c r="F1075" s="0" t="n">
        <v>0.2397</v>
      </c>
      <c r="G1075" s="12" t="n">
        <f aca="false">(A1075+(C1075*D1075*COS(RADIANS(E1075))^2-F1075*C1075*D1075)*TAN(RADIANS(B1075)))/(C1075*D1075*SIN(RADIANS(E1075))*COS(RADIANS(E1075)))</f>
        <v>1.05747938093966</v>
      </c>
    </row>
    <row r="1076" customFormat="false" ht="15" hidden="false" customHeight="false" outlineLevel="0" collapsed="false">
      <c r="A1076" s="0" t="n">
        <v>16.75</v>
      </c>
      <c r="B1076" s="0" t="n">
        <v>32.98</v>
      </c>
      <c r="C1076" s="0" t="n">
        <v>19.07</v>
      </c>
      <c r="D1076" s="0" t="n">
        <v>12.964</v>
      </c>
      <c r="E1076" s="0" t="n">
        <v>28.542</v>
      </c>
      <c r="F1076" s="0" t="n">
        <v>0.1336</v>
      </c>
      <c r="G1076" s="12" t="n">
        <f aca="false">(A1076+(C1076*D1076*COS(RADIANS(E1076))^2-F1076*C1076*D1076)*TAN(RADIANS(B1076)))/(C1076*D1076*SIN(RADIANS(E1076))*COS(RADIANS(E1076)))</f>
        <v>1.1479309447199</v>
      </c>
    </row>
    <row r="1077" customFormat="false" ht="15" hidden="false" customHeight="false" outlineLevel="0" collapsed="false">
      <c r="A1077" s="0" t="n">
        <v>10.033</v>
      </c>
      <c r="B1077" s="0" t="n">
        <v>35.905</v>
      </c>
      <c r="C1077" s="0" t="n">
        <v>19.923</v>
      </c>
      <c r="D1077" s="0" t="n">
        <v>12.539</v>
      </c>
      <c r="E1077" s="0" t="n">
        <v>29.705</v>
      </c>
      <c r="F1077" s="0" t="n">
        <v>0.1177</v>
      </c>
      <c r="G1077" s="12" t="n">
        <f aca="false">(A1077+(C1077*D1077*COS(RADIANS(E1077))^2-F1077*C1077*D1077)*TAN(RADIANS(B1077)))/(C1077*D1077*SIN(RADIANS(E1077))*COS(RADIANS(E1077)))</f>
        <v>1.16439465809704</v>
      </c>
    </row>
    <row r="1078" customFormat="false" ht="15" hidden="false" customHeight="false" outlineLevel="0" collapsed="false">
      <c r="A1078" s="0" t="n">
        <v>14.184</v>
      </c>
      <c r="B1078" s="0" t="n">
        <v>36.709</v>
      </c>
      <c r="C1078" s="0" t="n">
        <v>20.245</v>
      </c>
      <c r="D1078" s="0" t="n">
        <v>14.841</v>
      </c>
      <c r="E1078" s="0" t="n">
        <v>22.798</v>
      </c>
      <c r="F1078" s="0" t="n">
        <v>0.2703</v>
      </c>
      <c r="G1078" s="12" t="n">
        <f aca="false">(A1078+(C1078*D1078*COS(RADIANS(E1078))^2-F1078*C1078*D1078)*TAN(RADIANS(B1078)))/(C1078*D1078*SIN(RADIANS(E1078))*COS(RADIANS(E1078)))</f>
        <v>1.34188706948867</v>
      </c>
    </row>
    <row r="1079" customFormat="false" ht="15" hidden="false" customHeight="false" outlineLevel="0" collapsed="false">
      <c r="A1079" s="0" t="n">
        <v>15.439</v>
      </c>
      <c r="B1079" s="0" t="n">
        <v>40.711</v>
      </c>
      <c r="C1079" s="0" t="n">
        <v>20.259</v>
      </c>
      <c r="D1079" s="0" t="n">
        <v>12.666</v>
      </c>
      <c r="E1079" s="0" t="n">
        <v>29.8</v>
      </c>
      <c r="F1079" s="0" t="n">
        <v>0.2016</v>
      </c>
      <c r="G1079" s="12" t="n">
        <f aca="false">(A1079+(C1079*D1079*COS(RADIANS(E1079))^2-F1079*C1079*D1079)*TAN(RADIANS(B1079)))/(C1079*D1079*SIN(RADIANS(E1079))*COS(RADIANS(E1079)))</f>
        <v>1.23973692012917</v>
      </c>
    </row>
    <row r="1080" customFormat="false" ht="15" hidden="false" customHeight="false" outlineLevel="0" collapsed="false">
      <c r="A1080" s="0" t="n">
        <v>24.781</v>
      </c>
      <c r="B1080" s="0" t="n">
        <v>35.7</v>
      </c>
      <c r="C1080" s="0" t="n">
        <v>18.462</v>
      </c>
      <c r="D1080" s="0" t="n">
        <v>16.819</v>
      </c>
      <c r="E1080" s="0" t="n">
        <v>25.274</v>
      </c>
      <c r="F1080" s="0" t="n">
        <v>0.0862</v>
      </c>
      <c r="G1080" s="12" t="n">
        <f aca="false">(A1080+(C1080*D1080*COS(RADIANS(E1080))^2-F1080*C1080*D1080)*TAN(RADIANS(B1080)))/(C1080*D1080*SIN(RADIANS(E1080))*COS(RADIANS(E1080)))</f>
        <v>1.5682149220483</v>
      </c>
    </row>
    <row r="1081" customFormat="false" ht="15" hidden="false" customHeight="false" outlineLevel="0" collapsed="false">
      <c r="A1081" s="0" t="n">
        <v>9.491</v>
      </c>
      <c r="B1081" s="0" t="n">
        <v>36.769</v>
      </c>
      <c r="C1081" s="0" t="n">
        <v>19.052</v>
      </c>
      <c r="D1081" s="0" t="n">
        <v>17.245</v>
      </c>
      <c r="E1081" s="0" t="n">
        <v>30.632</v>
      </c>
      <c r="F1081" s="0" t="n">
        <v>0.2536</v>
      </c>
      <c r="G1081" s="12" t="n">
        <f aca="false">(A1081+(C1081*D1081*COS(RADIANS(E1081))^2-F1081*C1081*D1081)*TAN(RADIANS(B1081)))/(C1081*D1081*SIN(RADIANS(E1081))*COS(RADIANS(E1081)))</f>
        <v>0.895575631058777</v>
      </c>
    </row>
    <row r="1082" customFormat="false" ht="15" hidden="false" customHeight="false" outlineLevel="0" collapsed="false">
      <c r="A1082" s="0" t="n">
        <v>20.888</v>
      </c>
      <c r="B1082" s="0" t="n">
        <v>33.614</v>
      </c>
      <c r="C1082" s="0" t="n">
        <v>19.29</v>
      </c>
      <c r="D1082" s="0" t="n">
        <v>17.427</v>
      </c>
      <c r="E1082" s="0" t="n">
        <v>27.787</v>
      </c>
      <c r="F1082" s="0" t="n">
        <v>0.24</v>
      </c>
      <c r="G1082" s="12" t="n">
        <f aca="false">(A1082+(C1082*D1082*COS(RADIANS(E1082))^2-F1082*C1082*D1082)*TAN(RADIANS(B1082)))/(C1082*D1082*SIN(RADIANS(E1082))*COS(RADIANS(E1082)))</f>
        <v>1.02533287394886</v>
      </c>
    </row>
    <row r="1083" customFormat="false" ht="15" hidden="false" customHeight="false" outlineLevel="0" collapsed="false">
      <c r="A1083" s="0" t="n">
        <v>15.599</v>
      </c>
      <c r="B1083" s="0" t="n">
        <v>36.655</v>
      </c>
      <c r="C1083" s="0" t="n">
        <v>18.275</v>
      </c>
      <c r="D1083" s="0" t="n">
        <v>17.444</v>
      </c>
      <c r="E1083" s="0" t="n">
        <v>30.153</v>
      </c>
      <c r="F1083" s="0" t="n">
        <v>0.1472</v>
      </c>
      <c r="G1083" s="12" t="n">
        <f aca="false">(A1083+(C1083*D1083*COS(RADIANS(E1083))^2-F1083*C1083*D1083)*TAN(RADIANS(B1083)))/(C1083*D1083*SIN(RADIANS(E1083))*COS(RADIANS(E1083)))</f>
        <v>1.1414646437017</v>
      </c>
    </row>
    <row r="1084" customFormat="false" ht="15" hidden="false" customHeight="false" outlineLevel="0" collapsed="false">
      <c r="A1084" s="0" t="n">
        <v>16.645</v>
      </c>
      <c r="B1084" s="0" t="n">
        <v>31.804</v>
      </c>
      <c r="C1084" s="0" t="n">
        <v>19.727</v>
      </c>
      <c r="D1084" s="0" t="n">
        <v>15.179</v>
      </c>
      <c r="E1084" s="0" t="n">
        <v>28.478</v>
      </c>
      <c r="F1084" s="0" t="n">
        <v>0.181</v>
      </c>
      <c r="G1084" s="12" t="n">
        <f aca="false">(A1084+(C1084*D1084*COS(RADIANS(E1084))^2-F1084*C1084*D1084)*TAN(RADIANS(B1084)))/(C1084*D1084*SIN(RADIANS(E1084))*COS(RADIANS(E1084)))</f>
        <v>1.00799810646562</v>
      </c>
    </row>
    <row r="1085" customFormat="false" ht="15" hidden="false" customHeight="false" outlineLevel="0" collapsed="false">
      <c r="A1085" s="0" t="n">
        <v>15.473</v>
      </c>
      <c r="B1085" s="0" t="n">
        <v>33.053</v>
      </c>
      <c r="C1085" s="0" t="n">
        <v>18.726</v>
      </c>
      <c r="D1085" s="0" t="n">
        <v>19.734</v>
      </c>
      <c r="E1085" s="0" t="n">
        <v>25.445</v>
      </c>
      <c r="F1085" s="0" t="n">
        <v>0.1531</v>
      </c>
      <c r="G1085" s="12" t="n">
        <f aca="false">(A1085+(C1085*D1085*COS(RADIANS(E1085))^2-F1085*C1085*D1085)*TAN(RADIANS(B1085)))/(C1085*D1085*SIN(RADIANS(E1085))*COS(RADIANS(E1085)))</f>
        <v>1.21878286429703</v>
      </c>
    </row>
    <row r="1086" customFormat="false" ht="15" hidden="false" customHeight="false" outlineLevel="0" collapsed="false">
      <c r="A1086" s="0" t="n">
        <v>16.779</v>
      </c>
      <c r="B1086" s="0" t="n">
        <v>38.824</v>
      </c>
      <c r="C1086" s="0" t="n">
        <v>19.459</v>
      </c>
      <c r="D1086" s="0" t="n">
        <v>13.347</v>
      </c>
      <c r="E1086" s="0" t="n">
        <v>25.512</v>
      </c>
      <c r="F1086" s="0" t="n">
        <v>0.1753</v>
      </c>
      <c r="G1086" s="12" t="n">
        <f aca="false">(A1086+(C1086*D1086*COS(RADIANS(E1086))^2-F1086*C1086*D1086)*TAN(RADIANS(B1086)))/(C1086*D1086*SIN(RADIANS(E1086))*COS(RADIANS(E1086)))</f>
        <v>1.48949364302839</v>
      </c>
    </row>
    <row r="1087" customFormat="false" ht="15" hidden="false" customHeight="false" outlineLevel="0" collapsed="false">
      <c r="A1087" s="0" t="n">
        <v>14.385</v>
      </c>
      <c r="B1087" s="0" t="n">
        <v>37.602</v>
      </c>
      <c r="C1087" s="0" t="n">
        <v>19.886</v>
      </c>
      <c r="D1087" s="0" t="n">
        <v>11.742</v>
      </c>
      <c r="E1087" s="0" t="n">
        <v>27.754</v>
      </c>
      <c r="F1087" s="0" t="n">
        <v>0.2057</v>
      </c>
      <c r="G1087" s="12" t="n">
        <f aca="false">(A1087+(C1087*D1087*COS(RADIANS(E1087))^2-F1087*C1087*D1087)*TAN(RADIANS(B1087)))/(C1087*D1087*SIN(RADIANS(E1087))*COS(RADIANS(E1087)))</f>
        <v>1.22865193459372</v>
      </c>
    </row>
    <row r="1088" customFormat="false" ht="15" hidden="false" customHeight="false" outlineLevel="0" collapsed="false">
      <c r="A1088" s="0" t="n">
        <v>20.816</v>
      </c>
      <c r="B1088" s="0" t="n">
        <v>39.104</v>
      </c>
      <c r="C1088" s="0" t="n">
        <v>20.222</v>
      </c>
      <c r="D1088" s="0" t="n">
        <v>16.24</v>
      </c>
      <c r="E1088" s="0" t="n">
        <v>29.067</v>
      </c>
      <c r="F1088" s="0" t="n">
        <v>0.305</v>
      </c>
      <c r="G1088" s="12" t="n">
        <f aca="false">(A1088+(C1088*D1088*COS(RADIANS(E1088))^2-F1088*C1088*D1088)*TAN(RADIANS(B1088)))/(C1088*D1088*SIN(RADIANS(E1088))*COS(RADIANS(E1088)))</f>
        <v>1.0277604986441</v>
      </c>
    </row>
    <row r="1089" customFormat="false" ht="15" hidden="false" customHeight="false" outlineLevel="0" collapsed="false">
      <c r="A1089" s="0" t="n">
        <v>13.174</v>
      </c>
      <c r="B1089" s="0" t="n">
        <v>41.809</v>
      </c>
      <c r="C1089" s="0" t="n">
        <v>19.642</v>
      </c>
      <c r="D1089" s="0" t="n">
        <v>19.395</v>
      </c>
      <c r="E1089" s="0" t="n">
        <v>27.271</v>
      </c>
      <c r="F1089" s="0" t="n">
        <v>0.0846</v>
      </c>
      <c r="G1089" s="12" t="n">
        <f aca="false">(A1089+(C1089*D1089*COS(RADIANS(E1089))^2-F1089*C1089*D1089)*TAN(RADIANS(B1089)))/(C1089*D1089*SIN(RADIANS(E1089))*COS(RADIANS(E1089)))</f>
        <v>1.63411934053807</v>
      </c>
    </row>
    <row r="1090" customFormat="false" ht="15" hidden="false" customHeight="false" outlineLevel="0" collapsed="false">
      <c r="A1090" s="0" t="n">
        <v>19.529</v>
      </c>
      <c r="B1090" s="0" t="n">
        <v>37.854</v>
      </c>
      <c r="C1090" s="0" t="n">
        <v>19.836</v>
      </c>
      <c r="D1090" s="0" t="n">
        <v>17.23</v>
      </c>
      <c r="E1090" s="0" t="n">
        <v>29.384</v>
      </c>
      <c r="F1090" s="0" t="n">
        <v>0.0109</v>
      </c>
      <c r="G1090" s="12" t="n">
        <f aca="false">(A1090+(C1090*D1090*COS(RADIANS(E1090))^2-F1090*C1090*D1090)*TAN(RADIANS(B1090)))/(C1090*D1090*SIN(RADIANS(E1090))*COS(RADIANS(E1090)))</f>
        <v>1.49402628601299</v>
      </c>
    </row>
    <row r="1091" customFormat="false" ht="15" hidden="false" customHeight="false" outlineLevel="0" collapsed="false">
      <c r="A1091" s="0" t="n">
        <v>12.423</v>
      </c>
      <c r="B1091" s="0" t="n">
        <v>35.768</v>
      </c>
      <c r="C1091" s="0" t="n">
        <v>19.969</v>
      </c>
      <c r="D1091" s="0" t="n">
        <v>12.338</v>
      </c>
      <c r="E1091" s="0" t="n">
        <v>30.608</v>
      </c>
      <c r="F1091" s="0" t="n">
        <v>0.0139</v>
      </c>
      <c r="G1091" s="12" t="n">
        <f aca="false">(A1091+(C1091*D1091*COS(RADIANS(E1091))^2-F1091*C1091*D1091)*TAN(RADIANS(B1091)))/(C1091*D1091*SIN(RADIANS(E1091))*COS(RADIANS(E1091)))</f>
        <v>1.30991046151254</v>
      </c>
    </row>
    <row r="1092" customFormat="false" ht="15" hidden="false" customHeight="false" outlineLevel="0" collapsed="false">
      <c r="A1092" s="0" t="n">
        <v>14.759</v>
      </c>
      <c r="B1092" s="0" t="n">
        <v>33.354</v>
      </c>
      <c r="C1092" s="0" t="n">
        <v>20.204</v>
      </c>
      <c r="D1092" s="0" t="n">
        <v>12.274</v>
      </c>
      <c r="E1092" s="0" t="n">
        <v>29.183</v>
      </c>
      <c r="F1092" s="0" t="n">
        <v>0.0462</v>
      </c>
      <c r="G1092" s="12" t="n">
        <f aca="false">(A1092+(C1092*D1092*COS(RADIANS(E1092))^2-F1092*C1092*D1092)*TAN(RADIANS(B1092)))/(C1092*D1092*SIN(RADIANS(E1092))*COS(RADIANS(E1092)))</f>
        <v>1.24695040773375</v>
      </c>
    </row>
    <row r="1093" customFormat="false" ht="15" hidden="false" customHeight="false" outlineLevel="0" collapsed="false">
      <c r="A1093" s="0" t="n">
        <v>10.712</v>
      </c>
      <c r="B1093" s="0" t="n">
        <v>33.411</v>
      </c>
      <c r="C1093" s="0" t="n">
        <v>16.528</v>
      </c>
      <c r="D1093" s="0" t="n">
        <v>16.406</v>
      </c>
      <c r="E1093" s="0" t="n">
        <v>28.547</v>
      </c>
      <c r="F1093" s="0" t="n">
        <v>0.2101</v>
      </c>
      <c r="G1093" s="12" t="n">
        <f aca="false">(A1093+(C1093*D1093*COS(RADIANS(E1093))^2-F1093*C1093*D1093)*TAN(RADIANS(B1093)))/(C1093*D1093*SIN(RADIANS(E1093))*COS(RADIANS(E1093)))</f>
        <v>0.976510146880903</v>
      </c>
    </row>
    <row r="1094" customFormat="false" ht="15" hidden="false" customHeight="false" outlineLevel="0" collapsed="false">
      <c r="A1094" s="0" t="n">
        <v>16.82</v>
      </c>
      <c r="B1094" s="0" t="n">
        <v>35.079</v>
      </c>
      <c r="C1094" s="0" t="n">
        <v>19.336</v>
      </c>
      <c r="D1094" s="0" t="n">
        <v>13.303</v>
      </c>
      <c r="E1094" s="0" t="n">
        <v>23.503</v>
      </c>
      <c r="F1094" s="0" t="n">
        <v>0.1991</v>
      </c>
      <c r="G1094" s="12" t="n">
        <f aca="false">(A1094+(C1094*D1094*COS(RADIANS(E1094))^2-F1094*C1094*D1094)*TAN(RADIANS(B1094)))/(C1094*D1094*SIN(RADIANS(E1094))*COS(RADIANS(E1094)))</f>
        <v>1.4113427889451</v>
      </c>
    </row>
    <row r="1095" customFormat="false" ht="15" hidden="false" customHeight="false" outlineLevel="0" collapsed="false">
      <c r="A1095" s="0" t="n">
        <v>20.781</v>
      </c>
      <c r="B1095" s="0" t="n">
        <v>34.853</v>
      </c>
      <c r="C1095" s="0" t="n">
        <v>20.663</v>
      </c>
      <c r="D1095" s="0" t="n">
        <v>13.601</v>
      </c>
      <c r="E1095" s="0" t="n">
        <v>26.812</v>
      </c>
      <c r="F1095" s="0" t="n">
        <v>0.2376</v>
      </c>
      <c r="G1095" s="12" t="n">
        <f aca="false">(A1095+(C1095*D1095*COS(RADIANS(E1095))^2-F1095*C1095*D1095)*TAN(RADIANS(B1095)))/(C1095*D1095*SIN(RADIANS(E1095))*COS(RADIANS(E1095)))</f>
        <v>1.15056721015109</v>
      </c>
    </row>
    <row r="1096" customFormat="false" ht="15" hidden="false" customHeight="false" outlineLevel="0" collapsed="false">
      <c r="A1096" s="0" t="n">
        <v>14.691</v>
      </c>
      <c r="B1096" s="0" t="n">
        <v>37.631</v>
      </c>
      <c r="C1096" s="0" t="n">
        <v>18.168</v>
      </c>
      <c r="D1096" s="0" t="n">
        <v>23.701</v>
      </c>
      <c r="E1096" s="0" t="n">
        <v>25.247</v>
      </c>
      <c r="F1096" s="0" t="n">
        <v>0.0936</v>
      </c>
      <c r="G1096" s="12" t="n">
        <f aca="false">(A1096+(C1096*D1096*COS(RADIANS(E1096))^2-F1096*C1096*D1096)*TAN(RADIANS(B1096)))/(C1096*D1096*SIN(RADIANS(E1096))*COS(RADIANS(E1096)))</f>
        <v>1.53628526644401</v>
      </c>
    </row>
    <row r="1097" customFormat="false" ht="15" hidden="false" customHeight="false" outlineLevel="0" collapsed="false">
      <c r="A1097" s="0" t="n">
        <v>14.212</v>
      </c>
      <c r="B1097" s="0" t="n">
        <v>32.382</v>
      </c>
      <c r="C1097" s="0" t="n">
        <v>21.096</v>
      </c>
      <c r="D1097" s="0" t="n">
        <v>17.57</v>
      </c>
      <c r="E1097" s="0" t="n">
        <v>29.48</v>
      </c>
      <c r="F1097" s="0" t="n">
        <v>0.1693</v>
      </c>
      <c r="G1097" s="12" t="n">
        <f aca="false">(A1097+(C1097*D1097*COS(RADIANS(E1097))^2-F1097*C1097*D1097)*TAN(RADIANS(B1097)))/(C1097*D1097*SIN(RADIANS(E1097))*COS(RADIANS(E1097)))</f>
        <v>0.960702232173433</v>
      </c>
    </row>
    <row r="1098" customFormat="false" ht="15" hidden="false" customHeight="false" outlineLevel="0" collapsed="false">
      <c r="A1098" s="0" t="n">
        <v>10.542</v>
      </c>
      <c r="B1098" s="0" t="n">
        <v>33.336</v>
      </c>
      <c r="C1098" s="0" t="n">
        <v>20.103</v>
      </c>
      <c r="D1098" s="0" t="n">
        <v>14.104</v>
      </c>
      <c r="E1098" s="0" t="n">
        <v>28.319</v>
      </c>
      <c r="F1098" s="0" t="n">
        <v>0.1175</v>
      </c>
      <c r="G1098" s="12" t="n">
        <f aca="false">(A1098+(C1098*D1098*COS(RADIANS(E1098))^2-F1098*C1098*D1098)*TAN(RADIANS(B1098)))/(C1098*D1098*SIN(RADIANS(E1098))*COS(RADIANS(E1098)))</f>
        <v>1.12461224517074</v>
      </c>
    </row>
    <row r="1099" customFormat="false" ht="15" hidden="false" customHeight="false" outlineLevel="0" collapsed="false">
      <c r="A1099" s="0" t="n">
        <v>14.083</v>
      </c>
      <c r="B1099" s="0" t="n">
        <v>36.1</v>
      </c>
      <c r="C1099" s="0" t="n">
        <v>20.238</v>
      </c>
      <c r="D1099" s="0" t="n">
        <v>15.831</v>
      </c>
      <c r="E1099" s="0" t="n">
        <v>25.367</v>
      </c>
      <c r="F1099" s="0" t="n">
        <v>0.167</v>
      </c>
      <c r="G1099" s="12" t="n">
        <f aca="false">(A1099+(C1099*D1099*COS(RADIANS(E1099))^2-F1099*C1099*D1099)*TAN(RADIANS(B1099)))/(C1099*D1099*SIN(RADIANS(E1099))*COS(RADIANS(E1099)))</f>
        <v>1.33696823810561</v>
      </c>
    </row>
    <row r="1100" customFormat="false" ht="15" hidden="false" customHeight="false" outlineLevel="0" collapsed="false">
      <c r="A1100" s="0" t="n">
        <v>8.629</v>
      </c>
      <c r="B1100" s="0" t="n">
        <v>30.59</v>
      </c>
      <c r="C1100" s="0" t="n">
        <v>20.581</v>
      </c>
      <c r="D1100" s="0" t="n">
        <v>15.91</v>
      </c>
      <c r="E1100" s="0" t="n">
        <v>25.803</v>
      </c>
      <c r="F1100" s="0" t="n">
        <v>0.1311</v>
      </c>
      <c r="G1100" s="12" t="n">
        <f aca="false">(A1100+(C1100*D1100*COS(RADIANS(E1100))^2-F1100*C1100*D1100)*TAN(RADIANS(B1100)))/(C1100*D1100*SIN(RADIANS(E1100))*COS(RADIANS(E1100)))</f>
        <v>1.09219370405262</v>
      </c>
    </row>
    <row r="1101" customFormat="false" ht="15" hidden="false" customHeight="false" outlineLevel="0" collapsed="false">
      <c r="A1101" s="0" t="n">
        <v>11.348</v>
      </c>
      <c r="B1101" s="0" t="n">
        <v>39.415</v>
      </c>
      <c r="C1101" s="0" t="n">
        <v>20.439</v>
      </c>
      <c r="D1101" s="0" t="n">
        <v>16.473</v>
      </c>
      <c r="E1101" s="0" t="n">
        <v>25.031</v>
      </c>
      <c r="F1101" s="0" t="n">
        <v>0.1651</v>
      </c>
      <c r="G1101" s="12" t="n">
        <f aca="false">(A1101+(C1101*D1101*COS(RADIANS(E1101))^2-F1101*C1101*D1101)*TAN(RADIANS(B1101)))/(C1101*D1101*SIN(RADIANS(E1101))*COS(RADIANS(E1101)))</f>
        <v>1.49395516104085</v>
      </c>
    </row>
    <row r="1102" customFormat="false" ht="15" hidden="false" customHeight="false" outlineLevel="0" collapsed="false">
      <c r="A1102" s="0" t="n">
        <v>15.907</v>
      </c>
      <c r="B1102" s="0" t="n">
        <v>37.609</v>
      </c>
      <c r="C1102" s="0" t="n">
        <v>20.922</v>
      </c>
      <c r="D1102" s="0" t="n">
        <v>21.352</v>
      </c>
      <c r="E1102" s="0" t="n">
        <v>25.886</v>
      </c>
      <c r="F1102" s="0" t="n">
        <v>0.1688</v>
      </c>
      <c r="G1102" s="12" t="n">
        <f aca="false">(A1102+(C1102*D1102*COS(RADIANS(E1102))^2-F1102*C1102*D1102)*TAN(RADIANS(B1102)))/(C1102*D1102*SIN(RADIANS(E1102))*COS(RADIANS(E1102)))</f>
        <v>1.34705776984658</v>
      </c>
    </row>
    <row r="1103" customFormat="false" ht="15" hidden="false" customHeight="false" outlineLevel="0" collapsed="false">
      <c r="A1103" s="0" t="n">
        <v>20.276</v>
      </c>
      <c r="B1103" s="0" t="n">
        <v>35.633</v>
      </c>
      <c r="C1103" s="0" t="n">
        <v>20.668</v>
      </c>
      <c r="D1103" s="0" t="n">
        <v>18.858</v>
      </c>
      <c r="E1103" s="0" t="n">
        <v>30.094</v>
      </c>
      <c r="F1103" s="0" t="n">
        <v>0.057</v>
      </c>
      <c r="G1103" s="12" t="n">
        <f aca="false">(A1103+(C1103*D1103*COS(RADIANS(E1103))^2-F1103*C1103*D1103)*TAN(RADIANS(B1103)))/(C1103*D1103*SIN(RADIANS(E1103))*COS(RADIANS(E1103)))</f>
        <v>1.2625801027403</v>
      </c>
    </row>
    <row r="1104" customFormat="false" ht="15" hidden="false" customHeight="false" outlineLevel="0" collapsed="false">
      <c r="A1104" s="0" t="n">
        <v>26.237</v>
      </c>
      <c r="B1104" s="0" t="n">
        <v>31.948</v>
      </c>
      <c r="C1104" s="0" t="n">
        <v>19.276</v>
      </c>
      <c r="D1104" s="0" t="n">
        <v>23.685</v>
      </c>
      <c r="E1104" s="0" t="n">
        <v>28.603</v>
      </c>
      <c r="F1104" s="0" t="n">
        <v>0.0904</v>
      </c>
      <c r="G1104" s="12" t="n">
        <f aca="false">(A1104+(C1104*D1104*COS(RADIANS(E1104))^2-F1104*C1104*D1104)*TAN(RADIANS(B1104)))/(C1104*D1104*SIN(RADIANS(E1104))*COS(RADIANS(E1104)))</f>
        <v>1.14623744670429</v>
      </c>
    </row>
    <row r="1105" customFormat="false" ht="15" hidden="false" customHeight="false" outlineLevel="0" collapsed="false">
      <c r="A1105" s="0" t="n">
        <v>12.654</v>
      </c>
      <c r="B1105" s="0" t="n">
        <v>34.595</v>
      </c>
      <c r="C1105" s="0" t="n">
        <v>19.418</v>
      </c>
      <c r="D1105" s="0" t="n">
        <v>16.466</v>
      </c>
      <c r="E1105" s="0" t="n">
        <v>28.205</v>
      </c>
      <c r="F1105" s="0" t="n">
        <v>0.2316</v>
      </c>
      <c r="G1105" s="12" t="n">
        <f aca="false">(A1105+(C1105*D1105*COS(RADIANS(E1105))^2-F1105*C1105*D1105)*TAN(RADIANS(B1105)))/(C1105*D1105*SIN(RADIANS(E1105))*COS(RADIANS(E1105)))</f>
        <v>0.997559343982547</v>
      </c>
    </row>
    <row r="1106" customFormat="false" ht="15" hidden="false" customHeight="false" outlineLevel="0" collapsed="false">
      <c r="A1106" s="0" t="n">
        <v>20.741</v>
      </c>
      <c r="B1106" s="0" t="n">
        <v>37.154</v>
      </c>
      <c r="C1106" s="0" t="n">
        <v>21.27</v>
      </c>
      <c r="D1106" s="0" t="n">
        <v>11.668</v>
      </c>
      <c r="E1106" s="0" t="n">
        <v>24.091</v>
      </c>
      <c r="F1106" s="0" t="n">
        <v>0.2087</v>
      </c>
      <c r="G1106" s="12" t="n">
        <f aca="false">(A1106+(C1106*D1106*COS(RADIANS(E1106))^2-F1106*C1106*D1106)*TAN(RADIANS(B1106)))/(C1106*D1106*SIN(RADIANS(E1106))*COS(RADIANS(E1106)))</f>
        <v>1.49461530164445</v>
      </c>
    </row>
    <row r="1107" customFormat="false" ht="15" hidden="false" customHeight="false" outlineLevel="0" collapsed="false">
      <c r="A1107" s="0" t="n">
        <v>15.975</v>
      </c>
      <c r="B1107" s="0" t="n">
        <v>33.126</v>
      </c>
      <c r="C1107" s="0" t="n">
        <v>20.768</v>
      </c>
      <c r="D1107" s="0" t="n">
        <v>8.241</v>
      </c>
      <c r="E1107" s="0" t="n">
        <v>26.218</v>
      </c>
      <c r="F1107" s="0" t="n">
        <v>0.1419</v>
      </c>
      <c r="G1107" s="12" t="n">
        <f aca="false">(A1107+(C1107*D1107*COS(RADIANS(E1107))^2-F1107*C1107*D1107)*TAN(RADIANS(B1107)))/(C1107*D1107*SIN(RADIANS(E1107))*COS(RADIANS(E1107)))</f>
        <v>1.32696088277363</v>
      </c>
    </row>
    <row r="1108" customFormat="false" ht="15" hidden="false" customHeight="false" outlineLevel="0" collapsed="false">
      <c r="A1108" s="0" t="n">
        <v>14.395</v>
      </c>
      <c r="B1108" s="0" t="n">
        <v>30.085</v>
      </c>
      <c r="C1108" s="0" t="n">
        <v>21.061</v>
      </c>
      <c r="D1108" s="0" t="n">
        <v>12.677</v>
      </c>
      <c r="E1108" s="0" t="n">
        <v>28.619</v>
      </c>
      <c r="F1108" s="0" t="n">
        <v>0.0772</v>
      </c>
      <c r="G1108" s="12" t="n">
        <f aca="false">(A1108+(C1108*D1108*COS(RADIANS(E1108))^2-F1108*C1108*D1108)*TAN(RADIANS(B1108)))/(C1108*D1108*SIN(RADIANS(E1108))*COS(RADIANS(E1108)))</f>
        <v>1.08358904810861</v>
      </c>
    </row>
    <row r="1109" customFormat="false" ht="15" hidden="false" customHeight="false" outlineLevel="0" collapsed="false">
      <c r="A1109" s="0" t="n">
        <v>16.73</v>
      </c>
      <c r="B1109" s="0" t="n">
        <v>36.413</v>
      </c>
      <c r="C1109" s="0" t="n">
        <v>19.38</v>
      </c>
      <c r="D1109" s="0" t="n">
        <v>12.217</v>
      </c>
      <c r="E1109" s="0" t="n">
        <v>26.259</v>
      </c>
      <c r="F1109" s="0" t="n">
        <v>0.3951</v>
      </c>
      <c r="G1109" s="12" t="n">
        <f aca="false">(A1109+(C1109*D1109*COS(RADIANS(E1109))^2-F1109*C1109*D1109)*TAN(RADIANS(B1109)))/(C1109*D1109*SIN(RADIANS(E1109))*COS(RADIANS(E1109)))</f>
        <v>0.938724467642837</v>
      </c>
    </row>
    <row r="1110" customFormat="false" ht="15" hidden="false" customHeight="false" outlineLevel="0" collapsed="false">
      <c r="A1110" s="0" t="n">
        <v>15.248</v>
      </c>
      <c r="B1110" s="0" t="n">
        <v>35.956</v>
      </c>
      <c r="C1110" s="0" t="n">
        <v>19.222</v>
      </c>
      <c r="D1110" s="0" t="n">
        <v>18.644</v>
      </c>
      <c r="E1110" s="0" t="n">
        <v>30.407</v>
      </c>
      <c r="F1110" s="0" t="n">
        <v>0.1331</v>
      </c>
      <c r="G1110" s="12" t="n">
        <f aca="false">(A1110+(C1110*D1110*COS(RADIANS(E1110))^2-F1110*C1110*D1110)*TAN(RADIANS(B1110)))/(C1110*D1110*SIN(RADIANS(E1110))*COS(RADIANS(E1110)))</f>
        <v>1.11231353168316</v>
      </c>
    </row>
    <row r="1111" customFormat="false" ht="15" hidden="false" customHeight="false" outlineLevel="0" collapsed="false">
      <c r="A1111" s="0" t="n">
        <v>15.442</v>
      </c>
      <c r="B1111" s="0" t="n">
        <v>33.553</v>
      </c>
      <c r="C1111" s="0" t="n">
        <v>20.397</v>
      </c>
      <c r="D1111" s="0" t="n">
        <v>19.307</v>
      </c>
      <c r="E1111" s="0" t="n">
        <v>29.208</v>
      </c>
      <c r="F1111" s="0" t="n">
        <v>0.313</v>
      </c>
      <c r="G1111" s="12" t="n">
        <f aca="false">(A1111+(C1111*D1111*COS(RADIANS(E1111))^2-F1111*C1111*D1111)*TAN(RADIANS(B1111)))/(C1111*D1111*SIN(RADIANS(E1111))*COS(RADIANS(E1111)))</f>
        <v>0.79099336529863</v>
      </c>
    </row>
    <row r="1112" customFormat="false" ht="15" hidden="false" customHeight="false" outlineLevel="0" collapsed="false">
      <c r="A1112" s="0" t="n">
        <v>13.367</v>
      </c>
      <c r="B1112" s="0" t="n">
        <v>42.042</v>
      </c>
      <c r="C1112" s="0" t="n">
        <v>20.243</v>
      </c>
      <c r="D1112" s="0" t="n">
        <v>14.077</v>
      </c>
      <c r="E1112" s="0" t="n">
        <v>28.775</v>
      </c>
      <c r="F1112" s="0" t="n">
        <v>0.1233</v>
      </c>
      <c r="G1112" s="12" t="n">
        <f aca="false">(A1112+(C1112*D1112*COS(RADIANS(E1112))^2-F1112*C1112*D1112)*TAN(RADIANS(B1112)))/(C1112*D1112*SIN(RADIANS(E1112))*COS(RADIANS(E1112)))</f>
        <v>1.48960495918343</v>
      </c>
    </row>
    <row r="1113" customFormat="false" ht="15" hidden="false" customHeight="false" outlineLevel="0" collapsed="false">
      <c r="A1113" s="0" t="n">
        <v>9.408</v>
      </c>
      <c r="B1113" s="0" t="n">
        <v>32.546</v>
      </c>
      <c r="C1113" s="0" t="n">
        <v>20.865</v>
      </c>
      <c r="D1113" s="0" t="n">
        <v>13.513</v>
      </c>
      <c r="E1113" s="0" t="n">
        <v>28.039</v>
      </c>
      <c r="F1113" s="0" t="n">
        <v>0.0993</v>
      </c>
      <c r="G1113" s="12" t="n">
        <f aca="false">(A1113+(C1113*D1113*COS(RADIANS(E1113))^2-F1113*C1113*D1113)*TAN(RADIANS(B1113)))/(C1113*D1113*SIN(RADIANS(E1113))*COS(RADIANS(E1113)))</f>
        <v>1.12599042778841</v>
      </c>
    </row>
    <row r="1114" customFormat="false" ht="15" hidden="false" customHeight="false" outlineLevel="0" collapsed="false">
      <c r="A1114" s="0" t="n">
        <v>8.825</v>
      </c>
      <c r="B1114" s="0" t="n">
        <v>39.185</v>
      </c>
      <c r="C1114" s="0" t="n">
        <v>20.72</v>
      </c>
      <c r="D1114" s="0" t="n">
        <v>12.539</v>
      </c>
      <c r="E1114" s="0" t="n">
        <v>30.992</v>
      </c>
      <c r="F1114" s="0" t="n">
        <v>0.2048</v>
      </c>
      <c r="G1114" s="12" t="n">
        <f aca="false">(A1114+(C1114*D1114*COS(RADIANS(E1114))^2-F1114*C1114*D1114)*TAN(RADIANS(B1114)))/(C1114*D1114*SIN(RADIANS(E1114))*COS(RADIANS(E1114)))</f>
        <v>1.05580716909048</v>
      </c>
    </row>
    <row r="1115" customFormat="false" ht="15" hidden="false" customHeight="false" outlineLevel="0" collapsed="false">
      <c r="A1115" s="0" t="n">
        <v>17.613</v>
      </c>
      <c r="B1115" s="0" t="n">
        <v>37.025</v>
      </c>
      <c r="C1115" s="0" t="n">
        <v>19.777</v>
      </c>
      <c r="D1115" s="0" t="n">
        <v>17.691</v>
      </c>
      <c r="E1115" s="0" t="n">
        <v>29.648</v>
      </c>
      <c r="F1115" s="0" t="n">
        <v>0.2046</v>
      </c>
      <c r="G1115" s="12" t="n">
        <f aca="false">(A1115+(C1115*D1115*COS(RADIANS(E1115))^2-F1115*C1115*D1115)*TAN(RADIANS(B1115)))/(C1115*D1115*SIN(RADIANS(E1115))*COS(RADIANS(E1115)))</f>
        <v>1.08325663724696</v>
      </c>
    </row>
    <row r="1116" customFormat="false" ht="15" hidden="false" customHeight="false" outlineLevel="0" collapsed="false">
      <c r="A1116" s="0" t="n">
        <v>13.893</v>
      </c>
      <c r="B1116" s="0" t="n">
        <v>36.11</v>
      </c>
      <c r="C1116" s="0" t="n">
        <v>22.051</v>
      </c>
      <c r="D1116" s="0" t="n">
        <v>13.057</v>
      </c>
      <c r="E1116" s="0" t="n">
        <v>22.424</v>
      </c>
      <c r="F1116" s="0" t="n">
        <v>0.0958</v>
      </c>
      <c r="G1116" s="12" t="n">
        <f aca="false">(A1116+(C1116*D1116*COS(RADIANS(E1116))^2-F1116*C1116*D1116)*TAN(RADIANS(B1116)))/(C1116*D1116*SIN(RADIANS(E1116))*COS(RADIANS(E1116)))</f>
        <v>1.70640369865005</v>
      </c>
    </row>
    <row r="1117" customFormat="false" ht="15" hidden="false" customHeight="false" outlineLevel="0" collapsed="false">
      <c r="A1117" s="0" t="n">
        <v>12.616</v>
      </c>
      <c r="B1117" s="0" t="n">
        <v>41.992</v>
      </c>
      <c r="C1117" s="0" t="n">
        <v>20.321</v>
      </c>
      <c r="D1117" s="0" t="n">
        <v>16.918</v>
      </c>
      <c r="E1117" s="0" t="n">
        <v>28.528</v>
      </c>
      <c r="F1117" s="0" t="n">
        <v>0.2718</v>
      </c>
      <c r="G1117" s="12" t="n">
        <f aca="false">(A1117+(C1117*D1117*COS(RADIANS(E1117))^2-F1117*C1117*D1117)*TAN(RADIANS(B1117)))/(C1117*D1117*SIN(RADIANS(E1117))*COS(RADIANS(E1117)))</f>
        <v>1.16031822812467</v>
      </c>
    </row>
    <row r="1118" customFormat="false" ht="15" hidden="false" customHeight="false" outlineLevel="0" collapsed="false">
      <c r="A1118" s="0" t="n">
        <v>15.034</v>
      </c>
      <c r="B1118" s="0" t="n">
        <v>38.498</v>
      </c>
      <c r="C1118" s="0" t="n">
        <v>20.333</v>
      </c>
      <c r="D1118" s="0" t="n">
        <v>14.117</v>
      </c>
      <c r="E1118" s="0" t="n">
        <v>30.4</v>
      </c>
      <c r="F1118" s="0" t="n">
        <v>0.1886</v>
      </c>
      <c r="G1118" s="12" t="n">
        <f aca="false">(A1118+(C1118*D1118*COS(RADIANS(E1118))^2-F1118*C1118*D1118)*TAN(RADIANS(B1118)))/(C1118*D1118*SIN(RADIANS(E1118))*COS(RADIANS(E1118)))</f>
        <v>1.13199896348127</v>
      </c>
    </row>
    <row r="1119" customFormat="false" ht="15" hidden="false" customHeight="false" outlineLevel="0" collapsed="false">
      <c r="A1119" s="0" t="n">
        <v>18.18</v>
      </c>
      <c r="B1119" s="0" t="n">
        <v>33.027</v>
      </c>
      <c r="C1119" s="0" t="n">
        <v>17.47</v>
      </c>
      <c r="D1119" s="0" t="n">
        <v>16.79</v>
      </c>
      <c r="E1119" s="0" t="n">
        <v>29.612</v>
      </c>
      <c r="F1119" s="0" t="n">
        <v>0.1577</v>
      </c>
      <c r="G1119" s="12" t="n">
        <f aca="false">(A1119+(C1119*D1119*COS(RADIANS(E1119))^2-F1119*C1119*D1119)*TAN(RADIANS(B1119)))/(C1119*D1119*SIN(RADIANS(E1119))*COS(RADIANS(E1119)))</f>
        <v>1.04942224875403</v>
      </c>
    </row>
    <row r="1120" customFormat="false" ht="15" hidden="false" customHeight="false" outlineLevel="0" collapsed="false">
      <c r="A1120" s="0" t="n">
        <v>15.721</v>
      </c>
      <c r="B1120" s="0" t="n">
        <v>33.319</v>
      </c>
      <c r="C1120" s="0" t="n">
        <v>19.628</v>
      </c>
      <c r="D1120" s="0" t="n">
        <v>13.798</v>
      </c>
      <c r="E1120" s="0" t="n">
        <v>29.285</v>
      </c>
      <c r="F1120" s="0" t="n">
        <v>0.2015</v>
      </c>
      <c r="G1120" s="12" t="n">
        <f aca="false">(A1120+(C1120*D1120*COS(RADIANS(E1120))^2-F1120*C1120*D1120)*TAN(RADIANS(B1120)))/(C1120*D1120*SIN(RADIANS(E1120))*COS(RADIANS(E1120)))</f>
        <v>0.997700564469171</v>
      </c>
    </row>
    <row r="1121" customFormat="false" ht="15" hidden="false" customHeight="false" outlineLevel="0" collapsed="false">
      <c r="A1121" s="0" t="n">
        <v>12.376</v>
      </c>
      <c r="B1121" s="0" t="n">
        <v>32.734</v>
      </c>
      <c r="C1121" s="0" t="n">
        <v>18.033</v>
      </c>
      <c r="D1121" s="0" t="n">
        <v>8.106</v>
      </c>
      <c r="E1121" s="0" t="n">
        <v>24.576</v>
      </c>
      <c r="F1121" s="0" t="n">
        <v>0.0766</v>
      </c>
      <c r="G1121" s="12" t="n">
        <f aca="false">(A1121+(C1121*D1121*COS(RADIANS(E1121))^2-F1121*C1121*D1121)*TAN(RADIANS(B1121)))/(C1121*D1121*SIN(RADIANS(E1121))*COS(RADIANS(E1121)))</f>
        <v>1.49927199857459</v>
      </c>
    </row>
    <row r="1122" customFormat="false" ht="15" hidden="false" customHeight="false" outlineLevel="0" collapsed="false">
      <c r="A1122" s="0" t="n">
        <v>19.905</v>
      </c>
      <c r="B1122" s="0" t="n">
        <v>35.963</v>
      </c>
      <c r="C1122" s="0" t="n">
        <v>18.143</v>
      </c>
      <c r="D1122" s="0" t="n">
        <v>17.453</v>
      </c>
      <c r="E1122" s="0" t="n">
        <v>28.682</v>
      </c>
      <c r="F1122" s="0" t="n">
        <v>0.1151</v>
      </c>
      <c r="G1122" s="12" t="n">
        <f aca="false">(A1122+(C1122*D1122*COS(RADIANS(E1122))^2-F1122*C1122*D1122)*TAN(RADIANS(B1122)))/(C1122*D1122*SIN(RADIANS(E1122))*COS(RADIANS(E1122)))</f>
        <v>1.27720079675169</v>
      </c>
    </row>
    <row r="1123" customFormat="false" ht="15" hidden="false" customHeight="false" outlineLevel="0" collapsed="false">
      <c r="A1123" s="0" t="n">
        <v>21.317</v>
      </c>
      <c r="B1123" s="0" t="n">
        <v>32.915</v>
      </c>
      <c r="C1123" s="0" t="n">
        <v>20.409</v>
      </c>
      <c r="D1123" s="0" t="n">
        <v>13.516</v>
      </c>
      <c r="E1123" s="0" t="n">
        <v>31.349</v>
      </c>
      <c r="F1123" s="0" t="n">
        <v>0.2915</v>
      </c>
      <c r="G1123" s="12" t="n">
        <f aca="false">(A1123+(C1123*D1123*COS(RADIANS(E1123))^2-F1123*C1123*D1123)*TAN(RADIANS(B1123)))/(C1123*D1123*SIN(RADIANS(E1123))*COS(RADIANS(E1123)))</f>
        <v>0.811820321537441</v>
      </c>
    </row>
    <row r="1124" customFormat="false" ht="15" hidden="false" customHeight="false" outlineLevel="0" collapsed="false">
      <c r="A1124" s="0" t="n">
        <v>16.978</v>
      </c>
      <c r="B1124" s="0" t="n">
        <v>28.713</v>
      </c>
      <c r="C1124" s="0" t="n">
        <v>20.132</v>
      </c>
      <c r="D1124" s="0" t="n">
        <v>14.943</v>
      </c>
      <c r="E1124" s="0" t="n">
        <v>28.419</v>
      </c>
      <c r="F1124" s="0" t="n">
        <v>0.1692</v>
      </c>
      <c r="G1124" s="12" t="n">
        <f aca="false">(A1124+(C1124*D1124*COS(RADIANS(E1124))^2-F1124*C1124*D1124)*TAN(RADIANS(B1124)))/(C1124*D1124*SIN(RADIANS(E1124))*COS(RADIANS(E1124)))</f>
        <v>0.925693806756545</v>
      </c>
    </row>
    <row r="1125" customFormat="false" ht="15" hidden="false" customHeight="false" outlineLevel="0" collapsed="false">
      <c r="A1125" s="0" t="n">
        <v>18.895</v>
      </c>
      <c r="B1125" s="0" t="n">
        <v>33.592</v>
      </c>
      <c r="C1125" s="0" t="n">
        <v>20.846</v>
      </c>
      <c r="D1125" s="0" t="n">
        <v>15.743</v>
      </c>
      <c r="E1125" s="0" t="n">
        <v>28.621</v>
      </c>
      <c r="F1125" s="0" t="n">
        <v>0.0796</v>
      </c>
      <c r="G1125" s="12" t="n">
        <f aca="false">(A1125+(C1125*D1125*COS(RADIANS(E1125))^2-F1125*C1125*D1125)*TAN(RADIANS(B1125)))/(C1125*D1125*SIN(RADIANS(E1125))*COS(RADIANS(E1125)))</f>
        <v>1.22835229357194</v>
      </c>
    </row>
    <row r="1126" customFormat="false" ht="15" hidden="false" customHeight="false" outlineLevel="0" collapsed="false">
      <c r="A1126" s="0" t="n">
        <v>19.968</v>
      </c>
      <c r="B1126" s="0" t="n">
        <v>37.812</v>
      </c>
      <c r="C1126" s="0" t="n">
        <v>21.104</v>
      </c>
      <c r="D1126" s="0" t="n">
        <v>20.12</v>
      </c>
      <c r="E1126" s="0" t="n">
        <v>28.422</v>
      </c>
      <c r="F1126" s="0" t="n">
        <v>0.21</v>
      </c>
      <c r="G1126" s="12" t="n">
        <f aca="false">(A1126+(C1126*D1126*COS(RADIANS(E1126))^2-F1126*C1126*D1126)*TAN(RADIANS(B1126)))/(C1126*D1126*SIN(RADIANS(E1126))*COS(RADIANS(E1126)))</f>
        <v>1.15692533248682</v>
      </c>
    </row>
    <row r="1127" customFormat="false" ht="15" hidden="false" customHeight="false" outlineLevel="0" collapsed="false">
      <c r="A1127" s="0" t="n">
        <v>19.52</v>
      </c>
      <c r="B1127" s="0" t="n">
        <v>39.133</v>
      </c>
      <c r="C1127" s="0" t="n">
        <v>20.225</v>
      </c>
      <c r="D1127" s="0" t="n">
        <v>18.989</v>
      </c>
      <c r="E1127" s="0" t="n">
        <v>27.56</v>
      </c>
      <c r="F1127" s="0" t="n">
        <v>0.0969</v>
      </c>
      <c r="G1127" s="12" t="n">
        <f aca="false">(A1127+(C1127*D1127*COS(RADIANS(E1127))^2-F1127*C1127*D1127)*TAN(RADIANS(B1127)))/(C1127*D1127*SIN(RADIANS(E1127))*COS(RADIANS(E1127)))</f>
        <v>1.49069007547235</v>
      </c>
    </row>
    <row r="1128" customFormat="false" ht="15" hidden="false" customHeight="false" outlineLevel="0" collapsed="false">
      <c r="A1128" s="0" t="n">
        <v>17.456</v>
      </c>
      <c r="B1128" s="0" t="n">
        <v>37.563</v>
      </c>
      <c r="C1128" s="0" t="n">
        <v>20.861</v>
      </c>
      <c r="D1128" s="0" t="n">
        <v>12.451</v>
      </c>
      <c r="E1128" s="0" t="n">
        <v>26.175</v>
      </c>
      <c r="F1128" s="0" t="n">
        <v>0.1495</v>
      </c>
      <c r="G1128" s="12" t="n">
        <f aca="false">(A1128+(C1128*D1128*COS(RADIANS(E1128))^2-F1128*C1128*D1128)*TAN(RADIANS(B1128)))/(C1128*D1128*SIN(RADIANS(E1128))*COS(RADIANS(E1128)))</f>
        <v>1.44401934765852</v>
      </c>
    </row>
    <row r="1129" customFormat="false" ht="15" hidden="false" customHeight="false" outlineLevel="0" collapsed="false">
      <c r="A1129" s="0" t="n">
        <v>17.393</v>
      </c>
      <c r="B1129" s="0" t="n">
        <v>34.682</v>
      </c>
      <c r="C1129" s="0" t="n">
        <v>19.984</v>
      </c>
      <c r="D1129" s="0" t="n">
        <v>14.066</v>
      </c>
      <c r="E1129" s="0" t="n">
        <v>23.755</v>
      </c>
      <c r="F1129" s="0" t="n">
        <v>0.1691</v>
      </c>
      <c r="G1129" s="12" t="n">
        <f aca="false">(A1129+(C1129*D1129*COS(RADIANS(E1129))^2-F1129*C1129*D1129)*TAN(RADIANS(B1129)))/(C1129*D1129*SIN(RADIANS(E1129))*COS(RADIANS(E1129)))</f>
        <v>1.42270263607013</v>
      </c>
    </row>
    <row r="1130" customFormat="false" ht="15" hidden="false" customHeight="false" outlineLevel="0" collapsed="false">
      <c r="A1130" s="0" t="n">
        <v>17.079</v>
      </c>
      <c r="B1130" s="0" t="n">
        <v>38.225</v>
      </c>
      <c r="C1130" s="0" t="n">
        <v>21.493</v>
      </c>
      <c r="D1130" s="0" t="n">
        <v>14.364</v>
      </c>
      <c r="E1130" s="0" t="n">
        <v>28.587</v>
      </c>
      <c r="F1130" s="0" t="n">
        <v>0.1536</v>
      </c>
      <c r="G1130" s="12" t="n">
        <f aca="false">(A1130+(C1130*D1130*COS(RADIANS(E1130))^2-F1130*C1130*D1130)*TAN(RADIANS(B1130)))/(C1130*D1130*SIN(RADIANS(E1130))*COS(RADIANS(E1130)))</f>
        <v>1.28912339067319</v>
      </c>
    </row>
    <row r="1131" customFormat="false" ht="15" hidden="false" customHeight="false" outlineLevel="0" collapsed="false">
      <c r="A1131" s="0" t="n">
        <v>10.611</v>
      </c>
      <c r="B1131" s="0" t="n">
        <v>40.922</v>
      </c>
      <c r="C1131" s="0" t="n">
        <v>20.192</v>
      </c>
      <c r="D1131" s="0" t="n">
        <v>10.703</v>
      </c>
      <c r="E1131" s="0" t="n">
        <v>28.803</v>
      </c>
      <c r="F1131" s="0" t="n">
        <v>0</v>
      </c>
      <c r="G1131" s="12" t="n">
        <f aca="false">(A1131+(C1131*D1131*COS(RADIANS(E1131))^2-F1131*C1131*D1131)*TAN(RADIANS(B1131)))/(C1131*D1131*SIN(RADIANS(E1131))*COS(RADIANS(E1131)))</f>
        <v>1.69298385158093</v>
      </c>
    </row>
    <row r="1132" customFormat="false" ht="15" hidden="false" customHeight="false" outlineLevel="0" collapsed="false">
      <c r="A1132" s="0" t="n">
        <v>17.803</v>
      </c>
      <c r="B1132" s="0" t="n">
        <v>36.641</v>
      </c>
      <c r="C1132" s="0" t="n">
        <v>20.987</v>
      </c>
      <c r="D1132" s="0" t="n">
        <v>14.238</v>
      </c>
      <c r="E1132" s="0" t="n">
        <v>24.314</v>
      </c>
      <c r="F1132" s="0" t="n">
        <v>0.1951</v>
      </c>
      <c r="G1132" s="12" t="n">
        <f aca="false">(A1132+(C1132*D1132*COS(RADIANS(E1132))^2-F1132*C1132*D1132)*TAN(RADIANS(B1132)))/(C1132*D1132*SIN(RADIANS(E1132))*COS(RADIANS(E1132)))</f>
        <v>1.41825696630123</v>
      </c>
    </row>
    <row r="1133" customFormat="false" ht="15" hidden="false" customHeight="false" outlineLevel="0" collapsed="false">
      <c r="A1133" s="0" t="n">
        <v>9.577</v>
      </c>
      <c r="B1133" s="0" t="n">
        <v>35.185</v>
      </c>
      <c r="C1133" s="0" t="n">
        <v>20.789</v>
      </c>
      <c r="D1133" s="0" t="n">
        <v>12.86</v>
      </c>
      <c r="E1133" s="0" t="n">
        <v>27.702</v>
      </c>
      <c r="F1133" s="0" t="n">
        <v>0.1644</v>
      </c>
      <c r="G1133" s="12" t="n">
        <f aca="false">(A1133+(C1133*D1133*COS(RADIANS(E1133))^2-F1133*C1133*D1133)*TAN(RADIANS(B1133)))/(C1133*D1133*SIN(RADIANS(E1133))*COS(RADIANS(E1133)))</f>
        <v>1.14819651743738</v>
      </c>
    </row>
    <row r="1134" customFormat="false" ht="15" hidden="false" customHeight="false" outlineLevel="0" collapsed="false">
      <c r="A1134" s="0" t="n">
        <v>11.822</v>
      </c>
      <c r="B1134" s="0" t="n">
        <v>40.296</v>
      </c>
      <c r="C1134" s="0" t="n">
        <v>19.862</v>
      </c>
      <c r="D1134" s="0" t="n">
        <v>11.12</v>
      </c>
      <c r="E1134" s="0" t="n">
        <v>30.349</v>
      </c>
      <c r="F1134" s="0" t="n">
        <v>0.2149</v>
      </c>
      <c r="G1134" s="12" t="n">
        <f aca="false">(A1134+(C1134*D1134*COS(RADIANS(E1134))^2-F1134*C1134*D1134)*TAN(RADIANS(B1134)))/(C1134*D1134*SIN(RADIANS(E1134))*COS(RADIANS(E1134)))</f>
        <v>1.15307492995498</v>
      </c>
    </row>
    <row r="1135" customFormat="false" ht="15" hidden="false" customHeight="false" outlineLevel="0" collapsed="false">
      <c r="A1135" s="0" t="n">
        <v>20.214</v>
      </c>
      <c r="B1135" s="0" t="n">
        <v>33.16</v>
      </c>
      <c r="C1135" s="0" t="n">
        <v>20.733</v>
      </c>
      <c r="D1135" s="0" t="n">
        <v>13.455</v>
      </c>
      <c r="E1135" s="0" t="n">
        <v>29.814</v>
      </c>
      <c r="F1135" s="0" t="n">
        <v>0.2329</v>
      </c>
      <c r="G1135" s="12" t="n">
        <f aca="false">(A1135+(C1135*D1135*COS(RADIANS(E1135))^2-F1135*C1135*D1135)*TAN(RADIANS(B1135)))/(C1135*D1135*SIN(RADIANS(E1135))*COS(RADIANS(E1135)))</f>
        <v>0.955444858788531</v>
      </c>
    </row>
    <row r="1136" customFormat="false" ht="15" hidden="false" customHeight="false" outlineLevel="0" collapsed="false">
      <c r="A1136" s="0" t="n">
        <v>18.361</v>
      </c>
      <c r="B1136" s="0" t="n">
        <v>37.373</v>
      </c>
      <c r="C1136" s="0" t="n">
        <v>19.957</v>
      </c>
      <c r="D1136" s="0" t="n">
        <v>11.361</v>
      </c>
      <c r="E1136" s="0" t="n">
        <v>26.68</v>
      </c>
      <c r="F1136" s="0" t="n">
        <v>0.2478</v>
      </c>
      <c r="G1136" s="12" t="n">
        <f aca="false">(A1136+(C1136*D1136*COS(RADIANS(E1136))^2-F1136*C1136*D1136)*TAN(RADIANS(B1136)))/(C1136*D1136*SIN(RADIANS(E1136))*COS(RADIANS(E1136)))</f>
        <v>1.25007342747239</v>
      </c>
    </row>
    <row r="1137" customFormat="false" ht="15" hidden="false" customHeight="false" outlineLevel="0" collapsed="false">
      <c r="A1137" s="0" t="n">
        <v>20.95</v>
      </c>
      <c r="B1137" s="0" t="n">
        <v>25.821</v>
      </c>
      <c r="C1137" s="0" t="n">
        <v>20.984</v>
      </c>
      <c r="D1137" s="0" t="n">
        <v>16.594</v>
      </c>
      <c r="E1137" s="0" t="n">
        <v>25.017</v>
      </c>
      <c r="F1137" s="0" t="n">
        <v>0.1405</v>
      </c>
      <c r="G1137" s="12" t="n">
        <f aca="false">(A1137+(C1137*D1137*COS(RADIANS(E1137))^2-F1137*C1137*D1137)*TAN(RADIANS(B1137)))/(C1137*D1137*SIN(RADIANS(E1137))*COS(RADIANS(E1137)))</f>
        <v>1.01645843835629</v>
      </c>
    </row>
    <row r="1138" customFormat="false" ht="15" hidden="false" customHeight="false" outlineLevel="0" collapsed="false">
      <c r="A1138" s="0" t="n">
        <v>13.913</v>
      </c>
      <c r="B1138" s="0" t="n">
        <v>33.941</v>
      </c>
      <c r="C1138" s="0" t="n">
        <v>20.082</v>
      </c>
      <c r="D1138" s="0" t="n">
        <v>13.889</v>
      </c>
      <c r="E1138" s="0" t="n">
        <v>24.923</v>
      </c>
      <c r="F1138" s="0" t="n">
        <v>0.0991</v>
      </c>
      <c r="G1138" s="12" t="n">
        <f aca="false">(A1138+(C1138*D1138*COS(RADIANS(E1138))^2-F1138*C1138*D1138)*TAN(RADIANS(B1138)))/(C1138*D1138*SIN(RADIANS(E1138))*COS(RADIANS(E1138)))</f>
        <v>1.40435965533985</v>
      </c>
    </row>
    <row r="1139" customFormat="false" ht="15" hidden="false" customHeight="false" outlineLevel="0" collapsed="false">
      <c r="A1139" s="0" t="n">
        <v>10.391</v>
      </c>
      <c r="B1139" s="0" t="n">
        <v>28.366</v>
      </c>
      <c r="C1139" s="0" t="n">
        <v>18.907</v>
      </c>
      <c r="D1139" s="0" t="n">
        <v>16.245</v>
      </c>
      <c r="E1139" s="0" t="n">
        <v>28.151</v>
      </c>
      <c r="F1139" s="0" t="n">
        <v>0.1692</v>
      </c>
      <c r="G1139" s="12" t="n">
        <f aca="false">(A1139+(C1139*D1139*COS(RADIANS(E1139))^2-F1139*C1139*D1139)*TAN(RADIANS(B1139)))/(C1139*D1139*SIN(RADIANS(E1139))*COS(RADIANS(E1139)))</f>
        <v>0.870752269895948</v>
      </c>
    </row>
    <row r="1140" customFormat="false" ht="15" hidden="false" customHeight="false" outlineLevel="0" collapsed="false">
      <c r="A1140" s="0" t="n">
        <v>14.038</v>
      </c>
      <c r="B1140" s="0" t="n">
        <v>37.364</v>
      </c>
      <c r="C1140" s="0" t="n">
        <v>20.104</v>
      </c>
      <c r="D1140" s="0" t="n">
        <v>15.656</v>
      </c>
      <c r="E1140" s="0" t="n">
        <v>26.72</v>
      </c>
      <c r="F1140" s="0" t="n">
        <v>0.0238</v>
      </c>
      <c r="G1140" s="12" t="n">
        <f aca="false">(A1140+(C1140*D1140*COS(RADIANS(E1140))^2-F1140*C1140*D1140)*TAN(RADIANS(B1140)))/(C1140*D1140*SIN(RADIANS(E1140))*COS(RADIANS(E1140)))</f>
        <v>1.58265983836869</v>
      </c>
    </row>
    <row r="1141" customFormat="false" ht="15" hidden="false" customHeight="false" outlineLevel="0" collapsed="false">
      <c r="A1141" s="0" t="n">
        <v>15.408</v>
      </c>
      <c r="B1141" s="0" t="n">
        <v>32.695</v>
      </c>
      <c r="C1141" s="0" t="n">
        <v>20.142</v>
      </c>
      <c r="D1141" s="0" t="n">
        <v>20.916</v>
      </c>
      <c r="E1141" s="0" t="n">
        <v>24.47</v>
      </c>
      <c r="F1141" s="0" t="n">
        <v>0.2585</v>
      </c>
      <c r="G1141" s="12" t="n">
        <f aca="false">(A1141+(C1141*D1141*COS(RADIANS(E1141))^2-F1141*C1141*D1141)*TAN(RADIANS(B1141)))/(C1141*D1141*SIN(RADIANS(E1141))*COS(RADIANS(E1141)))</f>
        <v>1.06731128629144</v>
      </c>
    </row>
    <row r="1142" customFormat="false" ht="15" hidden="false" customHeight="false" outlineLevel="0" collapsed="false">
      <c r="A1142" s="0" t="n">
        <v>15.316</v>
      </c>
      <c r="B1142" s="0" t="n">
        <v>37.061</v>
      </c>
      <c r="C1142" s="0" t="n">
        <v>20.628</v>
      </c>
      <c r="D1142" s="0" t="n">
        <v>9.468</v>
      </c>
      <c r="E1142" s="0" t="n">
        <v>26.939</v>
      </c>
      <c r="F1142" s="0" t="n">
        <v>0.158</v>
      </c>
      <c r="G1142" s="12" t="n">
        <f aca="false">(A1142+(C1142*D1142*COS(RADIANS(E1142))^2-F1142*C1142*D1142)*TAN(RADIANS(B1142)))/(C1142*D1142*SIN(RADIANS(E1142))*COS(RADIANS(E1142)))</f>
        <v>1.38484159255503</v>
      </c>
    </row>
    <row r="1143" customFormat="false" ht="15" hidden="false" customHeight="false" outlineLevel="0" collapsed="false">
      <c r="A1143" s="0" t="n">
        <v>19.535</v>
      </c>
      <c r="B1143" s="0" t="n">
        <v>33.346</v>
      </c>
      <c r="C1143" s="0" t="n">
        <v>20.289</v>
      </c>
      <c r="D1143" s="0" t="n">
        <v>13.537</v>
      </c>
      <c r="E1143" s="0" t="n">
        <v>27.863</v>
      </c>
      <c r="F1143" s="0" t="n">
        <v>0.1811</v>
      </c>
      <c r="G1143" s="12" t="n">
        <f aca="false">(A1143+(C1143*D1143*COS(RADIANS(E1143))^2-F1143*C1143*D1143)*TAN(RADIANS(B1143)))/(C1143*D1143*SIN(RADIANS(E1143))*COS(RADIANS(E1143)))</f>
        <v>1.12846444127976</v>
      </c>
    </row>
    <row r="1144" customFormat="false" ht="15" hidden="false" customHeight="false" outlineLevel="0" collapsed="false">
      <c r="A1144" s="0" t="n">
        <v>13.555</v>
      </c>
      <c r="B1144" s="0" t="n">
        <v>33.597</v>
      </c>
      <c r="C1144" s="0" t="n">
        <v>20.266</v>
      </c>
      <c r="D1144" s="0" t="n">
        <v>19.547</v>
      </c>
      <c r="E1144" s="0" t="n">
        <v>30.707</v>
      </c>
      <c r="F1144" s="0" t="n">
        <v>0.0605</v>
      </c>
      <c r="G1144" s="12" t="n">
        <f aca="false">(A1144+(C1144*D1144*COS(RADIANS(E1144))^2-F1144*C1144*D1144)*TAN(RADIANS(B1144)))/(C1144*D1144*SIN(RADIANS(E1144))*COS(RADIANS(E1144)))</f>
        <v>1.10492985013294</v>
      </c>
    </row>
    <row r="1145" customFormat="false" ht="15" hidden="false" customHeight="false" outlineLevel="0" collapsed="false">
      <c r="A1145" s="0" t="n">
        <v>16.408</v>
      </c>
      <c r="B1145" s="0" t="n">
        <v>33.069</v>
      </c>
      <c r="C1145" s="0" t="n">
        <v>22.359</v>
      </c>
      <c r="D1145" s="0" t="n">
        <v>8.904</v>
      </c>
      <c r="E1145" s="0" t="n">
        <v>26.729</v>
      </c>
      <c r="F1145" s="0" t="n">
        <v>0.0939</v>
      </c>
      <c r="G1145" s="12" t="n">
        <f aca="false">(A1145+(C1145*D1145*COS(RADIANS(E1145))^2-F1145*C1145*D1145)*TAN(RADIANS(B1145)))/(C1145*D1145*SIN(RADIANS(E1145))*COS(RADIANS(E1145)))</f>
        <v>1.34594540424307</v>
      </c>
    </row>
    <row r="1146" customFormat="false" ht="15" hidden="false" customHeight="false" outlineLevel="0" collapsed="false">
      <c r="A1146" s="0" t="n">
        <v>11.045</v>
      </c>
      <c r="B1146" s="0" t="n">
        <v>36.761</v>
      </c>
      <c r="C1146" s="0" t="n">
        <v>20.109</v>
      </c>
      <c r="D1146" s="0" t="n">
        <v>15.204</v>
      </c>
      <c r="E1146" s="0" t="n">
        <v>26.173</v>
      </c>
      <c r="F1146" s="0" t="n">
        <v>0.1923</v>
      </c>
      <c r="G1146" s="12" t="n">
        <f aca="false">(A1146+(C1146*D1146*COS(RADIANS(E1146))^2-F1146*C1146*D1146)*TAN(RADIANS(B1146)))/(C1146*D1146*SIN(RADIANS(E1146))*COS(RADIANS(E1146)))</f>
        <v>1.24834652576963</v>
      </c>
    </row>
    <row r="1147" customFormat="false" ht="15" hidden="false" customHeight="false" outlineLevel="0" collapsed="false">
      <c r="A1147" s="0" t="n">
        <v>16.801</v>
      </c>
      <c r="B1147" s="0" t="n">
        <v>36.106</v>
      </c>
      <c r="C1147" s="0" t="n">
        <v>17.264</v>
      </c>
      <c r="D1147" s="0" t="n">
        <v>12.273</v>
      </c>
      <c r="E1147" s="0" t="n">
        <v>29.028</v>
      </c>
      <c r="F1147" s="0" t="n">
        <v>0.1117</v>
      </c>
      <c r="G1147" s="12" t="n">
        <f aca="false">(A1147+(C1147*D1147*COS(RADIANS(E1147))^2-F1147*C1147*D1147)*TAN(RADIANS(B1147)))/(C1147*D1147*SIN(RADIANS(E1147))*COS(RADIANS(E1147)))</f>
        <v>1.30917870621077</v>
      </c>
    </row>
    <row r="1148" customFormat="false" ht="15" hidden="false" customHeight="false" outlineLevel="0" collapsed="false">
      <c r="A1148" s="0" t="n">
        <v>15.012</v>
      </c>
      <c r="B1148" s="0" t="n">
        <v>32.414</v>
      </c>
      <c r="C1148" s="0" t="n">
        <v>19.627</v>
      </c>
      <c r="D1148" s="0" t="n">
        <v>15.909</v>
      </c>
      <c r="E1148" s="0" t="n">
        <v>26.558</v>
      </c>
      <c r="F1148" s="0" t="n">
        <v>0.0652</v>
      </c>
      <c r="G1148" s="12" t="n">
        <f aca="false">(A1148+(C1148*D1148*COS(RADIANS(E1148))^2-F1148*C1148*D1148)*TAN(RADIANS(B1148)))/(C1148*D1148*SIN(RADIANS(E1148))*COS(RADIANS(E1148)))</f>
        <v>1.28701299372384</v>
      </c>
    </row>
    <row r="1149" customFormat="false" ht="15" hidden="false" customHeight="false" outlineLevel="0" collapsed="false">
      <c r="A1149" s="0" t="n">
        <v>12.001</v>
      </c>
      <c r="B1149" s="0" t="n">
        <v>34.828</v>
      </c>
      <c r="C1149" s="0" t="n">
        <v>20.024</v>
      </c>
      <c r="D1149" s="0" t="n">
        <v>17.489</v>
      </c>
      <c r="E1149" s="0" t="n">
        <v>25.641</v>
      </c>
      <c r="F1149" s="0" t="n">
        <v>0.1318</v>
      </c>
      <c r="G1149" s="12" t="n">
        <f aca="false">(A1149+(C1149*D1149*COS(RADIANS(E1149))^2-F1149*C1149*D1149)*TAN(RADIANS(B1149)))/(C1149*D1149*SIN(RADIANS(E1149))*COS(RADIANS(E1149)))</f>
        <v>1.30225311472776</v>
      </c>
    </row>
    <row r="1150" customFormat="false" ht="15" hidden="false" customHeight="false" outlineLevel="0" collapsed="false">
      <c r="A1150" s="0" t="n">
        <v>14.057</v>
      </c>
      <c r="B1150" s="0" t="n">
        <v>33.026</v>
      </c>
      <c r="C1150" s="0" t="n">
        <v>20.64</v>
      </c>
      <c r="D1150" s="0" t="n">
        <v>18.584</v>
      </c>
      <c r="E1150" s="0" t="n">
        <v>24.471</v>
      </c>
      <c r="F1150" s="0" t="n">
        <v>0.183</v>
      </c>
      <c r="G1150" s="12" t="n">
        <f aca="false">(A1150+(C1150*D1150*COS(RADIANS(E1150))^2-F1150*C1150*D1150)*TAN(RADIANS(B1150)))/(C1150*D1150*SIN(RADIANS(E1150))*COS(RADIANS(E1150)))</f>
        <v>1.21000456938261</v>
      </c>
    </row>
    <row r="1151" customFormat="false" ht="15" hidden="false" customHeight="false" outlineLevel="0" collapsed="false">
      <c r="A1151" s="0" t="n">
        <v>14.263</v>
      </c>
      <c r="B1151" s="0" t="n">
        <v>33.667</v>
      </c>
      <c r="C1151" s="0" t="n">
        <v>20.351</v>
      </c>
      <c r="D1151" s="0" t="n">
        <v>15.777</v>
      </c>
      <c r="E1151" s="0" t="n">
        <v>26.741</v>
      </c>
      <c r="F1151" s="0" t="n">
        <v>0.0136</v>
      </c>
      <c r="G1151" s="12" t="n">
        <f aca="false">(A1151+(C1151*D1151*COS(RADIANS(E1151))^2-F1151*C1151*D1151)*TAN(RADIANS(B1151)))/(C1151*D1151*SIN(RADIANS(E1151))*COS(RADIANS(E1151)))</f>
        <v>1.41001065049094</v>
      </c>
    </row>
    <row r="1152" customFormat="false" ht="15" hidden="false" customHeight="false" outlineLevel="0" collapsed="false">
      <c r="A1152" s="0" t="n">
        <v>13.919</v>
      </c>
      <c r="B1152" s="0" t="n">
        <v>33.65</v>
      </c>
      <c r="C1152" s="0" t="n">
        <v>20.155</v>
      </c>
      <c r="D1152" s="0" t="n">
        <v>13.266</v>
      </c>
      <c r="E1152" s="0" t="n">
        <v>28.354</v>
      </c>
      <c r="F1152" s="0" t="n">
        <v>0.1227</v>
      </c>
      <c r="G1152" s="12" t="n">
        <f aca="false">(A1152+(C1152*D1152*COS(RADIANS(E1152))^2-F1152*C1152*D1152)*TAN(RADIANS(B1152)))/(C1152*D1152*SIN(RADIANS(E1152))*COS(RADIANS(E1152)))</f>
        <v>1.16260563320876</v>
      </c>
    </row>
    <row r="1153" customFormat="false" ht="15" hidden="false" customHeight="false" outlineLevel="0" collapsed="false">
      <c r="A1153" s="0" t="n">
        <v>22.085</v>
      </c>
      <c r="B1153" s="0" t="n">
        <v>33.41</v>
      </c>
      <c r="C1153" s="0" t="n">
        <v>20.194</v>
      </c>
      <c r="D1153" s="0" t="n">
        <v>5.382</v>
      </c>
      <c r="E1153" s="0" t="n">
        <v>28.242</v>
      </c>
      <c r="F1153" s="0" t="n">
        <v>0.0079</v>
      </c>
      <c r="G1153" s="12" t="n">
        <f aca="false">(A1153+(C1153*D1153*COS(RADIANS(E1153))^2-F1153*C1153*D1153)*TAN(RADIANS(B1153)))/(C1153*D1153*SIN(RADIANS(E1153))*COS(RADIANS(E1153)))</f>
        <v>1.70299540778247</v>
      </c>
    </row>
    <row r="1154" customFormat="false" ht="15" hidden="false" customHeight="false" outlineLevel="0" collapsed="false">
      <c r="A1154" s="0" t="n">
        <v>14.606</v>
      </c>
      <c r="B1154" s="0" t="n">
        <v>37.165</v>
      </c>
      <c r="C1154" s="0" t="n">
        <v>19.059</v>
      </c>
      <c r="D1154" s="0" t="n">
        <v>15.307</v>
      </c>
      <c r="E1154" s="0" t="n">
        <v>26.938</v>
      </c>
      <c r="F1154" s="0" t="n">
        <v>0.1305</v>
      </c>
      <c r="G1154" s="12" t="n">
        <f aca="false">(A1154+(C1154*D1154*COS(RADIANS(E1154))^2-F1154*C1154*D1154)*TAN(RADIANS(B1154)))/(C1154*D1154*SIN(RADIANS(E1154))*COS(RADIANS(E1154)))</f>
        <v>1.37081448130608</v>
      </c>
    </row>
    <row r="1155" customFormat="false" ht="15" hidden="false" customHeight="false" outlineLevel="0" collapsed="false">
      <c r="A1155" s="0" t="n">
        <v>14.024</v>
      </c>
      <c r="B1155" s="0" t="n">
        <v>37.127</v>
      </c>
      <c r="C1155" s="0" t="n">
        <v>19.222</v>
      </c>
      <c r="D1155" s="0" t="n">
        <v>15.05</v>
      </c>
      <c r="E1155" s="0" t="n">
        <v>29.265</v>
      </c>
      <c r="F1155" s="0" t="n">
        <v>0.1923</v>
      </c>
      <c r="G1155" s="12" t="n">
        <f aca="false">(A1155+(C1155*D1155*COS(RADIANS(E1155))^2-F1155*C1155*D1155)*TAN(RADIANS(B1155)))/(C1155*D1155*SIN(RADIANS(E1155))*COS(RADIANS(E1155)))</f>
        <v>1.12326189277592</v>
      </c>
    </row>
    <row r="1156" customFormat="false" ht="15" hidden="false" customHeight="false" outlineLevel="0" collapsed="false">
      <c r="A1156" s="0" t="n">
        <v>6.61</v>
      </c>
      <c r="B1156" s="0" t="n">
        <v>30.373</v>
      </c>
      <c r="C1156" s="0" t="n">
        <v>21.635</v>
      </c>
      <c r="D1156" s="0" t="n">
        <v>19.176</v>
      </c>
      <c r="E1156" s="0" t="n">
        <v>25.801</v>
      </c>
      <c r="F1156" s="0" t="n">
        <v>0.1502</v>
      </c>
      <c r="G1156" s="12" t="n">
        <f aca="false">(A1156+(C1156*D1156*COS(RADIANS(E1156))^2-F1156*C1156*D1156)*TAN(RADIANS(B1156)))/(C1156*D1156*SIN(RADIANS(E1156))*COS(RADIANS(E1156)))</f>
        <v>1.02829567636398</v>
      </c>
    </row>
    <row r="1157" customFormat="false" ht="15" hidden="false" customHeight="false" outlineLevel="0" collapsed="false">
      <c r="A1157" s="0" t="n">
        <v>11.423</v>
      </c>
      <c r="B1157" s="0" t="n">
        <v>34.391</v>
      </c>
      <c r="C1157" s="0" t="n">
        <v>19.73</v>
      </c>
      <c r="D1157" s="0" t="n">
        <v>15.913</v>
      </c>
      <c r="E1157" s="0" t="n">
        <v>29.273</v>
      </c>
      <c r="F1157" s="0" t="n">
        <v>0.0635</v>
      </c>
      <c r="G1157" s="12" t="n">
        <f aca="false">(A1157+(C1157*D1157*COS(RADIANS(E1157))^2-F1157*C1157*D1157)*TAN(RADIANS(B1157)))/(C1157*D1157*SIN(RADIANS(E1157))*COS(RADIANS(E1157)))</f>
        <v>1.20448077134286</v>
      </c>
    </row>
    <row r="1158" customFormat="false" ht="15" hidden="false" customHeight="false" outlineLevel="0" collapsed="false">
      <c r="A1158" s="0" t="n">
        <v>13.948</v>
      </c>
      <c r="B1158" s="0" t="n">
        <v>42.916</v>
      </c>
      <c r="C1158" s="0" t="n">
        <v>20.461</v>
      </c>
      <c r="D1158" s="0" t="n">
        <v>15.774</v>
      </c>
      <c r="E1158" s="0" t="n">
        <v>30.334</v>
      </c>
      <c r="F1158" s="0" t="n">
        <v>0.0038</v>
      </c>
      <c r="G1158" s="12" t="n">
        <f aca="false">(A1158+(C1158*D1158*COS(RADIANS(E1158))^2-F1158*C1158*D1158)*TAN(RADIANS(B1158)))/(C1158*D1158*SIN(RADIANS(E1158))*COS(RADIANS(E1158)))</f>
        <v>1.6799955127183</v>
      </c>
    </row>
    <row r="1159" customFormat="false" ht="15" hidden="false" customHeight="false" outlineLevel="0" collapsed="false">
      <c r="A1159" s="0" t="n">
        <v>12.257</v>
      </c>
      <c r="B1159" s="0" t="n">
        <v>38.983</v>
      </c>
      <c r="C1159" s="0" t="n">
        <v>20.641</v>
      </c>
      <c r="D1159" s="0" t="n">
        <v>15.743</v>
      </c>
      <c r="E1159" s="0" t="n">
        <v>28.771</v>
      </c>
      <c r="F1159" s="0" t="n">
        <v>0.1803</v>
      </c>
      <c r="G1159" s="12" t="n">
        <f aca="false">(A1159+(C1159*D1159*COS(RADIANS(E1159))^2-F1159*C1159*D1159)*TAN(RADIANS(B1159)))/(C1159*D1159*SIN(RADIANS(E1159))*COS(RADIANS(E1159)))</f>
        <v>1.2174109161985</v>
      </c>
    </row>
    <row r="1160" customFormat="false" ht="15" hidden="false" customHeight="false" outlineLevel="0" collapsed="false">
      <c r="A1160" s="0" t="n">
        <v>20.527</v>
      </c>
      <c r="B1160" s="0" t="n">
        <v>41.642</v>
      </c>
      <c r="C1160" s="0" t="n">
        <v>20.19</v>
      </c>
      <c r="D1160" s="0" t="n">
        <v>15.908</v>
      </c>
      <c r="E1160" s="0" t="n">
        <v>29.559</v>
      </c>
      <c r="F1160" s="0" t="n">
        <v>0.0928</v>
      </c>
      <c r="G1160" s="12" t="n">
        <f aca="false">(A1160+(C1160*D1160*COS(RADIANS(E1160))^2-F1160*C1160*D1160)*TAN(RADIANS(B1160)))/(C1160*D1160*SIN(RADIANS(E1160))*COS(RADIANS(E1160)))</f>
        <v>1.52445240579422</v>
      </c>
    </row>
    <row r="1161" customFormat="false" ht="15" hidden="false" customHeight="false" outlineLevel="0" collapsed="false">
      <c r="A1161" s="0" t="n">
        <v>14.34</v>
      </c>
      <c r="B1161" s="0" t="n">
        <v>32.125</v>
      </c>
      <c r="C1161" s="0" t="n">
        <v>20.157</v>
      </c>
      <c r="D1161" s="0" t="n">
        <v>16.912</v>
      </c>
      <c r="E1161" s="0" t="n">
        <v>28.421</v>
      </c>
      <c r="F1161" s="0" t="n">
        <v>0.1871</v>
      </c>
      <c r="G1161" s="12" t="n">
        <f aca="false">(A1161+(C1161*D1161*COS(RADIANS(E1161))^2-F1161*C1161*D1161)*TAN(RADIANS(B1161)))/(C1161*D1161*SIN(RADIANS(E1161))*COS(RADIANS(E1161)))</f>
        <v>0.980103956481169</v>
      </c>
    </row>
    <row r="1162" customFormat="false" ht="15" hidden="false" customHeight="false" outlineLevel="0" collapsed="false">
      <c r="A1162" s="0" t="n">
        <v>20.154</v>
      </c>
      <c r="B1162" s="0" t="n">
        <v>33.997</v>
      </c>
      <c r="C1162" s="0" t="n">
        <v>19.978</v>
      </c>
      <c r="D1162" s="0" t="n">
        <v>12.306</v>
      </c>
      <c r="E1162" s="0" t="n">
        <v>25.998</v>
      </c>
      <c r="F1162" s="0" t="n">
        <v>0.1313</v>
      </c>
      <c r="G1162" s="12" t="n">
        <f aca="false">(A1162+(C1162*D1162*COS(RADIANS(E1162))^2-F1162*C1162*D1162)*TAN(RADIANS(B1162)))/(C1162*D1162*SIN(RADIANS(E1162))*COS(RADIANS(E1162)))</f>
        <v>1.36622292800602</v>
      </c>
    </row>
    <row r="1163" customFormat="false" ht="15" hidden="false" customHeight="false" outlineLevel="0" collapsed="false">
      <c r="A1163" s="0" t="n">
        <v>15.247</v>
      </c>
      <c r="B1163" s="0" t="n">
        <v>32.567</v>
      </c>
      <c r="C1163" s="0" t="n">
        <v>18.323</v>
      </c>
      <c r="D1163" s="0" t="n">
        <v>10.101</v>
      </c>
      <c r="E1163" s="0" t="n">
        <v>24.96</v>
      </c>
      <c r="F1163" s="0" t="n">
        <v>0.1424</v>
      </c>
      <c r="G1163" s="12" t="n">
        <f aca="false">(A1163+(C1163*D1163*COS(RADIANS(E1163))^2-F1163*C1163*D1163)*TAN(RADIANS(B1163)))/(C1163*D1163*SIN(RADIANS(E1163))*COS(RADIANS(E1163)))</f>
        <v>1.34982187884814</v>
      </c>
    </row>
    <row r="1164" customFormat="false" ht="15" hidden="false" customHeight="false" outlineLevel="0" collapsed="false">
      <c r="A1164" s="0" t="n">
        <v>15.149</v>
      </c>
      <c r="B1164" s="0" t="n">
        <v>35.193</v>
      </c>
      <c r="C1164" s="0" t="n">
        <v>20.856</v>
      </c>
      <c r="D1164" s="0" t="n">
        <v>15.559</v>
      </c>
      <c r="E1164" s="0" t="n">
        <v>25.668</v>
      </c>
      <c r="F1164" s="0" t="n">
        <v>0.1468</v>
      </c>
      <c r="G1164" s="12" t="n">
        <f aca="false">(A1164+(C1164*D1164*COS(RADIANS(E1164))^2-F1164*C1164*D1164)*TAN(RADIANS(B1164)))/(C1164*D1164*SIN(RADIANS(E1164))*COS(RADIANS(E1164)))</f>
        <v>1.32187393950754</v>
      </c>
    </row>
    <row r="1165" customFormat="false" ht="15" hidden="false" customHeight="false" outlineLevel="0" collapsed="false">
      <c r="A1165" s="0" t="n">
        <v>14.645</v>
      </c>
      <c r="B1165" s="0" t="n">
        <v>35.912</v>
      </c>
      <c r="C1165" s="0" t="n">
        <v>19.772</v>
      </c>
      <c r="D1165" s="0" t="n">
        <v>13.932</v>
      </c>
      <c r="E1165" s="0" t="n">
        <v>28.987</v>
      </c>
      <c r="F1165" s="0" t="n">
        <v>0.045</v>
      </c>
      <c r="G1165" s="12" t="n">
        <f aca="false">(A1165+(C1165*D1165*COS(RADIANS(E1165))^2-F1165*C1165*D1165)*TAN(RADIANS(B1165)))/(C1165*D1165*SIN(RADIANS(E1165))*COS(RADIANS(E1165)))</f>
        <v>1.35572740827784</v>
      </c>
    </row>
    <row r="1166" customFormat="false" ht="15" hidden="false" customHeight="false" outlineLevel="0" collapsed="false">
      <c r="A1166" s="0" t="n">
        <v>15.015</v>
      </c>
      <c r="B1166" s="0" t="n">
        <v>36.66</v>
      </c>
      <c r="C1166" s="0" t="n">
        <v>20.054</v>
      </c>
      <c r="D1166" s="0" t="n">
        <v>14.487</v>
      </c>
      <c r="E1166" s="0" t="n">
        <v>25.463</v>
      </c>
      <c r="F1166" s="0" t="n">
        <v>0.0907</v>
      </c>
      <c r="G1166" s="12" t="n">
        <f aca="false">(A1166+(C1166*D1166*COS(RADIANS(E1166))^2-F1166*C1166*D1166)*TAN(RADIANS(B1166)))/(C1166*D1166*SIN(RADIANS(E1166))*COS(RADIANS(E1166)))</f>
        <v>1.52226934578326</v>
      </c>
    </row>
    <row r="1167" customFormat="false" ht="15" hidden="false" customHeight="false" outlineLevel="0" collapsed="false">
      <c r="A1167" s="0" t="n">
        <v>21.875</v>
      </c>
      <c r="B1167" s="0" t="n">
        <v>33.758</v>
      </c>
      <c r="C1167" s="0" t="n">
        <v>19.869</v>
      </c>
      <c r="D1167" s="0" t="n">
        <v>21.894</v>
      </c>
      <c r="E1167" s="0" t="n">
        <v>25.821</v>
      </c>
      <c r="F1167" s="0" t="n">
        <v>0.1752</v>
      </c>
      <c r="G1167" s="12" t="n">
        <f aca="false">(A1167+(C1167*D1167*COS(RADIANS(E1167))^2-F1167*C1167*D1167)*TAN(RADIANS(B1167)))/(C1167*D1167*SIN(RADIANS(E1167))*COS(RADIANS(E1167)))</f>
        <v>1.21090710139612</v>
      </c>
    </row>
    <row r="1168" customFormat="false" ht="15" hidden="false" customHeight="false" outlineLevel="0" collapsed="false">
      <c r="A1168" s="0" t="n">
        <v>5.722</v>
      </c>
      <c r="B1168" s="0" t="n">
        <v>33.14</v>
      </c>
      <c r="C1168" s="0" t="n">
        <v>21.439</v>
      </c>
      <c r="D1168" s="0" t="n">
        <v>20.113</v>
      </c>
      <c r="E1168" s="0" t="n">
        <v>31.414</v>
      </c>
      <c r="F1168" s="0" t="n">
        <v>0.1978</v>
      </c>
      <c r="G1168" s="12" t="n">
        <f aca="false">(A1168+(C1168*D1168*COS(RADIANS(E1168))^2-F1168*C1168*D1168)*TAN(RADIANS(B1168)))/(C1168*D1168*SIN(RADIANS(E1168))*COS(RADIANS(E1168)))</f>
        <v>0.808523070614454</v>
      </c>
    </row>
    <row r="1169" customFormat="false" ht="15" hidden="false" customHeight="false" outlineLevel="0" collapsed="false">
      <c r="A1169" s="0" t="n">
        <v>6.994</v>
      </c>
      <c r="B1169" s="0" t="n">
        <v>32.439</v>
      </c>
      <c r="C1169" s="0" t="n">
        <v>19.048</v>
      </c>
      <c r="D1169" s="0" t="n">
        <v>11.004</v>
      </c>
      <c r="E1169" s="0" t="n">
        <v>28.958</v>
      </c>
      <c r="F1169" s="0" t="n">
        <v>0.1145</v>
      </c>
      <c r="G1169" s="12" t="n">
        <f aca="false">(A1169+(C1169*D1169*COS(RADIANS(E1169))^2-F1169*C1169*D1169)*TAN(RADIANS(B1169)))/(C1169*D1169*SIN(RADIANS(E1169))*COS(RADIANS(E1169)))</f>
        <v>1.05557378736182</v>
      </c>
    </row>
    <row r="1170" customFormat="false" ht="15" hidden="false" customHeight="false" outlineLevel="0" collapsed="false">
      <c r="A1170" s="0" t="n">
        <v>12.827</v>
      </c>
      <c r="B1170" s="0" t="n">
        <v>34.634</v>
      </c>
      <c r="C1170" s="0" t="n">
        <v>19.672</v>
      </c>
      <c r="D1170" s="0" t="n">
        <v>16.18</v>
      </c>
      <c r="E1170" s="0" t="n">
        <v>29.764</v>
      </c>
      <c r="F1170" s="0" t="n">
        <v>0.1695</v>
      </c>
      <c r="G1170" s="12" t="n">
        <f aca="false">(A1170+(C1170*D1170*COS(RADIANS(E1170))^2-F1170*C1170*D1170)*TAN(RADIANS(B1170)))/(C1170*D1170*SIN(RADIANS(E1170))*COS(RADIANS(E1170)))</f>
        <v>1.02967382719236</v>
      </c>
    </row>
    <row r="1171" customFormat="false" ht="15" hidden="false" customHeight="false" outlineLevel="0" collapsed="false">
      <c r="A1171" s="0" t="n">
        <v>15.058</v>
      </c>
      <c r="B1171" s="0" t="n">
        <v>36.947</v>
      </c>
      <c r="C1171" s="0" t="n">
        <v>20.299</v>
      </c>
      <c r="D1171" s="0" t="n">
        <v>11.697</v>
      </c>
      <c r="E1171" s="0" t="n">
        <v>26.972</v>
      </c>
      <c r="F1171" s="0" t="n">
        <v>0.1027</v>
      </c>
      <c r="G1171" s="12" t="n">
        <f aca="false">(A1171+(C1171*D1171*COS(RADIANS(E1171))^2-F1171*C1171*D1171)*TAN(RADIANS(B1171)))/(C1171*D1171*SIN(RADIANS(E1171))*COS(RADIANS(E1171)))</f>
        <v>1.44367870987314</v>
      </c>
    </row>
    <row r="1172" customFormat="false" ht="15" hidden="false" customHeight="false" outlineLevel="0" collapsed="false">
      <c r="A1172" s="0" t="n">
        <v>17.76</v>
      </c>
      <c r="B1172" s="0" t="n">
        <v>37.352</v>
      </c>
      <c r="C1172" s="0" t="n">
        <v>21</v>
      </c>
      <c r="D1172" s="0" t="n">
        <v>13.821</v>
      </c>
      <c r="E1172" s="0" t="n">
        <v>24.515</v>
      </c>
      <c r="F1172" s="0" t="n">
        <v>0.1259</v>
      </c>
      <c r="G1172" s="12" t="n">
        <f aca="false">(A1172+(C1172*D1172*COS(RADIANS(E1172))^2-F1172*C1172*D1172)*TAN(RADIANS(B1172)))/(C1172*D1172*SIN(RADIANS(E1172))*COS(RADIANS(E1172)))</f>
        <v>1.58115202975311</v>
      </c>
    </row>
    <row r="1173" customFormat="false" ht="15" hidden="false" customHeight="false" outlineLevel="0" collapsed="false">
      <c r="A1173" s="0" t="n">
        <v>16.892</v>
      </c>
      <c r="B1173" s="0" t="n">
        <v>38.94</v>
      </c>
      <c r="C1173" s="0" t="n">
        <v>19.732</v>
      </c>
      <c r="D1173" s="0" t="n">
        <v>17.983</v>
      </c>
      <c r="E1173" s="0" t="n">
        <v>28.984</v>
      </c>
      <c r="F1173" s="0" t="n">
        <v>0.1524</v>
      </c>
      <c r="G1173" s="12" t="n">
        <f aca="false">(A1173+(C1173*D1173*COS(RADIANS(E1173))^2-F1173*C1173*D1173)*TAN(RADIANS(B1173)))/(C1173*D1173*SIN(RADIANS(E1173))*COS(RADIANS(E1173)))</f>
        <v>1.28050562271039</v>
      </c>
    </row>
    <row r="1174" customFormat="false" ht="15" hidden="false" customHeight="false" outlineLevel="0" collapsed="false">
      <c r="A1174" s="0" t="n">
        <v>13.463</v>
      </c>
      <c r="B1174" s="0" t="n">
        <v>36.197</v>
      </c>
      <c r="C1174" s="0" t="n">
        <v>19.713</v>
      </c>
      <c r="D1174" s="0" t="n">
        <v>15.035</v>
      </c>
      <c r="E1174" s="0" t="n">
        <v>28.942</v>
      </c>
      <c r="F1174" s="0" t="n">
        <v>0.0569</v>
      </c>
      <c r="G1174" s="12" t="n">
        <f aca="false">(A1174+(C1174*D1174*COS(RADIANS(E1174))^2-F1174*C1174*D1174)*TAN(RADIANS(B1174)))/(C1174*D1174*SIN(RADIANS(E1174))*COS(RADIANS(E1174)))</f>
        <v>1.33231147764697</v>
      </c>
    </row>
    <row r="1175" customFormat="false" ht="15" hidden="false" customHeight="false" outlineLevel="0" collapsed="false">
      <c r="A1175" s="0" t="n">
        <v>19.076</v>
      </c>
      <c r="B1175" s="0" t="n">
        <v>37.482</v>
      </c>
      <c r="C1175" s="0" t="n">
        <v>20.692</v>
      </c>
      <c r="D1175" s="0" t="n">
        <v>16.726</v>
      </c>
      <c r="E1175" s="0" t="n">
        <v>28.094</v>
      </c>
      <c r="F1175" s="0" t="n">
        <v>0.1194</v>
      </c>
      <c r="G1175" s="12" t="n">
        <f aca="false">(A1175+(C1175*D1175*COS(RADIANS(E1175))^2-F1175*C1175*D1175)*TAN(RADIANS(B1175)))/(C1175*D1175*SIN(RADIANS(E1175))*COS(RADIANS(E1175)))</f>
        <v>1.3487844608863</v>
      </c>
    </row>
    <row r="1176" customFormat="false" ht="15" hidden="false" customHeight="false" outlineLevel="0" collapsed="false">
      <c r="A1176" s="0" t="n">
        <v>19.121</v>
      </c>
      <c r="B1176" s="0" t="n">
        <v>30.84</v>
      </c>
      <c r="C1176" s="0" t="n">
        <v>20.411</v>
      </c>
      <c r="D1176" s="0" t="n">
        <v>10.649</v>
      </c>
      <c r="E1176" s="0" t="n">
        <v>24.594</v>
      </c>
      <c r="F1176" s="0" t="n">
        <v>0.1868</v>
      </c>
      <c r="G1176" s="12" t="n">
        <f aca="false">(A1176+(C1176*D1176*COS(RADIANS(E1176))^2-F1176*C1176*D1176)*TAN(RADIANS(B1176)))/(C1176*D1176*SIN(RADIANS(E1176))*COS(RADIANS(E1176)))</f>
        <v>1.2422056562476</v>
      </c>
    </row>
    <row r="1177" customFormat="false" ht="15" hidden="false" customHeight="false" outlineLevel="0" collapsed="false">
      <c r="A1177" s="0" t="n">
        <v>15.736</v>
      </c>
      <c r="B1177" s="0" t="n">
        <v>38.179</v>
      </c>
      <c r="C1177" s="0" t="n">
        <v>20.812</v>
      </c>
      <c r="D1177" s="0" t="n">
        <v>15.678</v>
      </c>
      <c r="E1177" s="0" t="n">
        <v>30.123</v>
      </c>
      <c r="F1177" s="0" t="n">
        <v>0.1814</v>
      </c>
      <c r="G1177" s="12" t="n">
        <f aca="false">(A1177+(C1177*D1177*COS(RADIANS(E1177))^2-F1177*C1177*D1177)*TAN(RADIANS(B1177)))/(C1177*D1177*SIN(RADIANS(E1177))*COS(RADIANS(E1177)))</f>
        <v>1.13773405758485</v>
      </c>
    </row>
    <row r="1178" customFormat="false" ht="15" hidden="false" customHeight="false" outlineLevel="0" collapsed="false">
      <c r="A1178" s="0" t="n">
        <v>18.851</v>
      </c>
      <c r="B1178" s="0" t="n">
        <v>38.522</v>
      </c>
      <c r="C1178" s="0" t="n">
        <v>19.335</v>
      </c>
      <c r="D1178" s="0" t="n">
        <v>12.032</v>
      </c>
      <c r="E1178" s="0" t="n">
        <v>29.207</v>
      </c>
      <c r="F1178" s="0" t="n">
        <v>0.1113</v>
      </c>
      <c r="G1178" s="12" t="n">
        <f aca="false">(A1178+(C1178*D1178*COS(RADIANS(E1178))^2-F1178*C1178*D1178)*TAN(RADIANS(B1178)))/(C1178*D1178*SIN(RADIANS(E1178))*COS(RADIANS(E1178)))</f>
        <v>1.40620415955861</v>
      </c>
    </row>
    <row r="1179" customFormat="false" ht="15" hidden="false" customHeight="false" outlineLevel="0" collapsed="false">
      <c r="A1179" s="0" t="n">
        <v>16.091</v>
      </c>
      <c r="B1179" s="0" t="n">
        <v>40.444</v>
      </c>
      <c r="C1179" s="0" t="n">
        <v>19.873</v>
      </c>
      <c r="D1179" s="0" t="n">
        <v>13.472</v>
      </c>
      <c r="E1179" s="0" t="n">
        <v>29.033</v>
      </c>
      <c r="F1179" s="0" t="n">
        <v>0.2115</v>
      </c>
      <c r="G1179" s="12" t="n">
        <f aca="false">(A1179+(C1179*D1179*COS(RADIANS(E1179))^2-F1179*C1179*D1179)*TAN(RADIANS(B1179)))/(C1179*D1179*SIN(RADIANS(E1179))*COS(RADIANS(E1179)))</f>
        <v>1.25244743555332</v>
      </c>
    </row>
    <row r="1180" customFormat="false" ht="15" hidden="false" customHeight="false" outlineLevel="0" collapsed="false">
      <c r="A1180" s="0" t="n">
        <v>12.754</v>
      </c>
      <c r="B1180" s="0" t="n">
        <v>41.457</v>
      </c>
      <c r="C1180" s="0" t="n">
        <v>19.903</v>
      </c>
      <c r="D1180" s="0" t="n">
        <v>14.497</v>
      </c>
      <c r="E1180" s="0" t="n">
        <v>27.298</v>
      </c>
      <c r="F1180" s="0" t="n">
        <v>0.1741</v>
      </c>
      <c r="G1180" s="12" t="n">
        <f aca="false">(A1180+(C1180*D1180*COS(RADIANS(E1180))^2-F1180*C1180*D1180)*TAN(RADIANS(B1180)))/(C1180*D1180*SIN(RADIANS(E1180))*COS(RADIANS(E1180)))</f>
        <v>1.4427637277555</v>
      </c>
    </row>
    <row r="1181" customFormat="false" ht="15" hidden="false" customHeight="false" outlineLevel="0" collapsed="false">
      <c r="A1181" s="0" t="n">
        <v>17.791</v>
      </c>
      <c r="B1181" s="0" t="n">
        <v>31.676</v>
      </c>
      <c r="C1181" s="0" t="n">
        <v>21.625</v>
      </c>
      <c r="D1181" s="0" t="n">
        <v>18.838</v>
      </c>
      <c r="E1181" s="0" t="n">
        <v>29.678</v>
      </c>
      <c r="F1181" s="0" t="n">
        <v>0.1616</v>
      </c>
      <c r="G1181" s="12" t="n">
        <f aca="false">(A1181+(C1181*D1181*COS(RADIANS(E1181))^2-F1181*C1181*D1181)*TAN(RADIANS(B1181)))/(C1181*D1181*SIN(RADIANS(E1181))*COS(RADIANS(E1181)))</f>
        <v>0.952469109708742</v>
      </c>
    </row>
    <row r="1182" customFormat="false" ht="15" hidden="false" customHeight="false" outlineLevel="0" collapsed="false">
      <c r="A1182" s="0" t="n">
        <v>15.442</v>
      </c>
      <c r="B1182" s="0" t="n">
        <v>37.906</v>
      </c>
      <c r="C1182" s="0" t="n">
        <v>21.592</v>
      </c>
      <c r="D1182" s="0" t="n">
        <v>17.397</v>
      </c>
      <c r="E1182" s="0" t="n">
        <v>25.922</v>
      </c>
      <c r="F1182" s="0" t="n">
        <v>0.1444</v>
      </c>
      <c r="G1182" s="12" t="n">
        <f aca="false">(A1182+(C1182*D1182*COS(RADIANS(E1182))^2-F1182*C1182*D1182)*TAN(RADIANS(B1182)))/(C1182*D1182*SIN(RADIANS(E1182))*COS(RADIANS(E1182)))</f>
        <v>1.42057551291094</v>
      </c>
    </row>
    <row r="1183" customFormat="false" ht="15" hidden="false" customHeight="false" outlineLevel="0" collapsed="false">
      <c r="A1183" s="0" t="n">
        <v>15.005</v>
      </c>
      <c r="B1183" s="0" t="n">
        <v>34.073</v>
      </c>
      <c r="C1183" s="0" t="n">
        <v>19.709</v>
      </c>
      <c r="D1183" s="0" t="n">
        <v>12</v>
      </c>
      <c r="E1183" s="0" t="n">
        <v>27.999</v>
      </c>
      <c r="F1183" s="0" t="n">
        <v>0.1876</v>
      </c>
      <c r="G1183" s="12" t="n">
        <f aca="false">(A1183+(C1183*D1183*COS(RADIANS(E1183))^2-F1183*C1183*D1183)*TAN(RADIANS(B1183)))/(C1183*D1183*SIN(RADIANS(E1183))*COS(RADIANS(E1183)))</f>
        <v>1.11905581776872</v>
      </c>
    </row>
    <row r="1184" customFormat="false" ht="15" hidden="false" customHeight="false" outlineLevel="0" collapsed="false">
      <c r="A1184" s="0" t="n">
        <v>20.892</v>
      </c>
      <c r="B1184" s="0" t="n">
        <v>33.71</v>
      </c>
      <c r="C1184" s="0" t="n">
        <v>18.159</v>
      </c>
      <c r="D1184" s="0" t="n">
        <v>17.004</v>
      </c>
      <c r="E1184" s="0" t="n">
        <v>27.805</v>
      </c>
      <c r="F1184" s="0" t="n">
        <v>0.105</v>
      </c>
      <c r="G1184" s="12" t="n">
        <f aca="false">(A1184+(C1184*D1184*COS(RADIANS(E1184))^2-F1184*C1184*D1184)*TAN(RADIANS(B1184)))/(C1184*D1184*SIN(RADIANS(E1184))*COS(RADIANS(E1184)))</f>
        <v>1.25933424164948</v>
      </c>
    </row>
    <row r="1185" customFormat="false" ht="15" hidden="false" customHeight="false" outlineLevel="0" collapsed="false">
      <c r="A1185" s="0" t="n">
        <v>5.197</v>
      </c>
      <c r="B1185" s="0" t="n">
        <v>34.057</v>
      </c>
      <c r="C1185" s="0" t="n">
        <v>18.06</v>
      </c>
      <c r="D1185" s="0" t="n">
        <v>19.409</v>
      </c>
      <c r="E1185" s="0" t="n">
        <v>29.608</v>
      </c>
      <c r="F1185" s="0" t="n">
        <v>0.0682</v>
      </c>
      <c r="G1185" s="12" t="n">
        <f aca="false">(A1185+(C1185*D1185*COS(RADIANS(E1185))^2-F1185*C1185*D1185)*TAN(RADIANS(B1185)))/(C1185*D1185*SIN(RADIANS(E1185))*COS(RADIANS(E1185)))</f>
        <v>1.11670647908824</v>
      </c>
    </row>
    <row r="1186" customFormat="false" ht="15" hidden="false" customHeight="false" outlineLevel="0" collapsed="false">
      <c r="A1186" s="0" t="n">
        <v>9.329</v>
      </c>
      <c r="B1186" s="0" t="n">
        <v>33.701</v>
      </c>
      <c r="C1186" s="0" t="n">
        <v>19.888</v>
      </c>
      <c r="D1186" s="0" t="n">
        <v>12.325</v>
      </c>
      <c r="E1186" s="0" t="n">
        <v>30.19</v>
      </c>
      <c r="F1186" s="0" t="n">
        <v>0.2439</v>
      </c>
      <c r="G1186" s="12" t="n">
        <f aca="false">(A1186+(C1186*D1186*COS(RADIANS(E1186))^2-F1186*C1186*D1186)*TAN(RADIANS(B1186)))/(C1186*D1186*SIN(RADIANS(E1186))*COS(RADIANS(E1186)))</f>
        <v>0.859702777353669</v>
      </c>
    </row>
    <row r="1187" customFormat="false" ht="15" hidden="false" customHeight="false" outlineLevel="0" collapsed="false">
      <c r="A1187" s="0" t="n">
        <v>10.252</v>
      </c>
      <c r="B1187" s="0" t="n">
        <v>34.702</v>
      </c>
      <c r="C1187" s="0" t="n">
        <v>19.389</v>
      </c>
      <c r="D1187" s="0" t="n">
        <v>20.328</v>
      </c>
      <c r="E1187" s="0" t="n">
        <v>28.475</v>
      </c>
      <c r="F1187" s="0" t="n">
        <v>0.063</v>
      </c>
      <c r="G1187" s="12" t="n">
        <f aca="false">(A1187+(C1187*D1187*COS(RADIANS(E1187))^2-F1187*C1187*D1187)*TAN(RADIANS(B1187)))/(C1187*D1187*SIN(RADIANS(E1187))*COS(RADIANS(E1187)))</f>
        <v>1.23469407448693</v>
      </c>
    </row>
    <row r="1188" customFormat="false" ht="15" hidden="false" customHeight="false" outlineLevel="0" collapsed="false">
      <c r="A1188" s="0" t="n">
        <v>13.547</v>
      </c>
      <c r="B1188" s="0" t="n">
        <v>33.879</v>
      </c>
      <c r="C1188" s="0" t="n">
        <v>21.437</v>
      </c>
      <c r="D1188" s="0" t="n">
        <v>16.244</v>
      </c>
      <c r="E1188" s="0" t="n">
        <v>29.044</v>
      </c>
      <c r="F1188" s="0" t="n">
        <v>0.2125</v>
      </c>
      <c r="G1188" s="12" t="n">
        <f aca="false">(A1188+(C1188*D1188*COS(RADIANS(E1188))^2-F1188*C1188*D1188)*TAN(RADIANS(B1188)))/(C1188*D1188*SIN(RADIANS(E1188))*COS(RADIANS(E1188)))</f>
        <v>0.964608829517818</v>
      </c>
    </row>
    <row r="1189" customFormat="false" ht="15" hidden="false" customHeight="false" outlineLevel="0" collapsed="false">
      <c r="A1189" s="0" t="n">
        <v>13.982</v>
      </c>
      <c r="B1189" s="0" t="n">
        <v>36.574</v>
      </c>
      <c r="C1189" s="0" t="n">
        <v>21.224</v>
      </c>
      <c r="D1189" s="0" t="n">
        <v>17.061</v>
      </c>
      <c r="E1189" s="0" t="n">
        <v>25.619</v>
      </c>
      <c r="F1189" s="0" t="n">
        <v>0.1247</v>
      </c>
      <c r="G1189" s="12" t="n">
        <f aca="false">(A1189+(C1189*D1189*COS(RADIANS(E1189))^2-F1189*C1189*D1189)*TAN(RADIANS(B1189)))/(C1189*D1189*SIN(RADIANS(E1189))*COS(RADIANS(E1189)))</f>
        <v>1.40900397592295</v>
      </c>
    </row>
    <row r="1190" customFormat="false" ht="15" hidden="false" customHeight="false" outlineLevel="0" collapsed="false">
      <c r="A1190" s="0" t="n">
        <v>8.971</v>
      </c>
      <c r="B1190" s="0" t="n">
        <v>37.251</v>
      </c>
      <c r="C1190" s="0" t="n">
        <v>21.84</v>
      </c>
      <c r="D1190" s="0" t="n">
        <v>13.853</v>
      </c>
      <c r="E1190" s="0" t="n">
        <v>28.456</v>
      </c>
      <c r="F1190" s="0" t="n">
        <v>0.1382</v>
      </c>
      <c r="G1190" s="12" t="n">
        <f aca="false">(A1190+(C1190*D1190*COS(RADIANS(E1190))^2-F1190*C1190*D1190)*TAN(RADIANS(B1190)))/(C1190*D1190*SIN(RADIANS(E1190))*COS(RADIANS(E1190)))</f>
        <v>1.22304558314743</v>
      </c>
    </row>
    <row r="1191" customFormat="false" ht="15" hidden="false" customHeight="false" outlineLevel="0" collapsed="false">
      <c r="A1191" s="0" t="n">
        <v>11.059</v>
      </c>
      <c r="B1191" s="0" t="n">
        <v>38.724</v>
      </c>
      <c r="C1191" s="0" t="n">
        <v>20.449</v>
      </c>
      <c r="D1191" s="0" t="n">
        <v>8.926</v>
      </c>
      <c r="E1191" s="0" t="n">
        <v>28.545</v>
      </c>
      <c r="F1191" s="0" t="n">
        <v>0.1201</v>
      </c>
      <c r="G1191" s="12" t="n">
        <f aca="false">(A1191+(C1191*D1191*COS(RADIANS(E1191))^2-F1191*C1191*D1191)*TAN(RADIANS(B1191)))/(C1191*D1191*SIN(RADIANS(E1191))*COS(RADIANS(E1191)))</f>
        <v>1.38896314160133</v>
      </c>
    </row>
    <row r="1192" customFormat="false" ht="15" hidden="false" customHeight="false" outlineLevel="0" collapsed="false">
      <c r="A1192" s="0" t="n">
        <v>11.557</v>
      </c>
      <c r="B1192" s="0" t="n">
        <v>36.786</v>
      </c>
      <c r="C1192" s="0" t="n">
        <v>17.593</v>
      </c>
      <c r="D1192" s="0" t="n">
        <v>19.137</v>
      </c>
      <c r="E1192" s="0" t="n">
        <v>26.046</v>
      </c>
      <c r="F1192" s="0" t="n">
        <v>0.1905</v>
      </c>
      <c r="G1192" s="12" t="n">
        <f aca="false">(A1192+(C1192*D1192*COS(RADIANS(E1192))^2-F1192*C1192*D1192)*TAN(RADIANS(B1192)))/(C1192*D1192*SIN(RADIANS(E1192))*COS(RADIANS(E1192)))</f>
        <v>1.25587209963766</v>
      </c>
    </row>
    <row r="1193" customFormat="false" ht="15" hidden="false" customHeight="false" outlineLevel="0" collapsed="false">
      <c r="A1193" s="0" t="n">
        <v>24.83</v>
      </c>
      <c r="B1193" s="0" t="n">
        <v>34.915</v>
      </c>
      <c r="C1193" s="0" t="n">
        <v>19.554</v>
      </c>
      <c r="D1193" s="0" t="n">
        <v>18.303</v>
      </c>
      <c r="E1193" s="0" t="n">
        <v>28.717</v>
      </c>
      <c r="F1193" s="0" t="n">
        <v>0.2043</v>
      </c>
      <c r="G1193" s="12" t="n">
        <f aca="false">(A1193+(C1193*D1193*COS(RADIANS(E1193))^2-F1193*C1193*D1193)*TAN(RADIANS(B1193)))/(C1193*D1193*SIN(RADIANS(E1193))*COS(RADIANS(E1193)))</f>
        <v>1.10025499193989</v>
      </c>
    </row>
    <row r="1194" customFormat="false" ht="15" hidden="false" customHeight="false" outlineLevel="0" collapsed="false">
      <c r="A1194" s="0" t="n">
        <v>22.207</v>
      </c>
      <c r="B1194" s="0" t="n">
        <v>37.274</v>
      </c>
      <c r="C1194" s="0" t="n">
        <v>18.764</v>
      </c>
      <c r="D1194" s="0" t="n">
        <v>10.67</v>
      </c>
      <c r="E1194" s="0" t="n">
        <v>28.945</v>
      </c>
      <c r="F1194" s="0" t="n">
        <v>0.1409</v>
      </c>
      <c r="G1194" s="12" t="n">
        <f aca="false">(A1194+(C1194*D1194*COS(RADIANS(E1194))^2-F1194*C1194*D1194)*TAN(RADIANS(B1194)))/(C1194*D1194*SIN(RADIANS(E1194))*COS(RADIANS(E1194)))</f>
        <v>1.38482918963531</v>
      </c>
    </row>
    <row r="1195" customFormat="false" ht="15" hidden="false" customHeight="false" outlineLevel="0" collapsed="false">
      <c r="A1195" s="0" t="n">
        <v>13.353</v>
      </c>
      <c r="B1195" s="0" t="n">
        <v>38.231</v>
      </c>
      <c r="C1195" s="0" t="n">
        <v>20.799</v>
      </c>
      <c r="D1195" s="0" t="n">
        <v>11.92</v>
      </c>
      <c r="E1195" s="0" t="n">
        <v>28.555</v>
      </c>
      <c r="F1195" s="0" t="n">
        <v>0.1701</v>
      </c>
      <c r="G1195" s="12" t="n">
        <f aca="false">(A1195+(C1195*D1195*COS(RADIANS(E1195))^2-F1195*C1195*D1195)*TAN(RADIANS(B1195)))/(C1195*D1195*SIN(RADIANS(E1195))*COS(RADIANS(E1195)))</f>
        <v>1.25674229986137</v>
      </c>
    </row>
    <row r="1196" customFormat="false" ht="15" hidden="false" customHeight="false" outlineLevel="0" collapsed="false">
      <c r="A1196" s="0" t="n">
        <v>13.546</v>
      </c>
      <c r="B1196" s="0" t="n">
        <v>36.976</v>
      </c>
      <c r="C1196" s="0" t="n">
        <v>19.068</v>
      </c>
      <c r="D1196" s="0" t="n">
        <v>16.124</v>
      </c>
      <c r="E1196" s="0" t="n">
        <v>29.191</v>
      </c>
      <c r="F1196" s="0" t="n">
        <v>0.1692</v>
      </c>
      <c r="G1196" s="12" t="n">
        <f aca="false">(A1196+(C1196*D1196*COS(RADIANS(E1196))^2-F1196*C1196*D1196)*TAN(RADIANS(B1196)))/(C1196*D1196*SIN(RADIANS(E1196))*COS(RADIANS(E1196)))</f>
        <v>1.15193433383221</v>
      </c>
    </row>
    <row r="1197" customFormat="false" ht="15" hidden="false" customHeight="false" outlineLevel="0" collapsed="false">
      <c r="A1197" s="0" t="n">
        <v>10.403</v>
      </c>
      <c r="B1197" s="0" t="n">
        <v>36.799</v>
      </c>
      <c r="C1197" s="0" t="n">
        <v>20.449</v>
      </c>
      <c r="D1197" s="0" t="n">
        <v>13.93</v>
      </c>
      <c r="E1197" s="0" t="n">
        <v>28.694</v>
      </c>
      <c r="F1197" s="0" t="n">
        <v>0.1202</v>
      </c>
      <c r="G1197" s="12" t="n">
        <f aca="false">(A1197+(C1197*D1197*COS(RADIANS(E1197))^2-F1197*C1197*D1197)*TAN(RADIANS(B1197)))/(C1197*D1197*SIN(RADIANS(E1197))*COS(RADIANS(E1197)))</f>
        <v>1.23993094972151</v>
      </c>
    </row>
    <row r="1198" customFormat="false" ht="15" hidden="false" customHeight="false" outlineLevel="0" collapsed="false">
      <c r="A1198" s="0" t="n">
        <v>7.367</v>
      </c>
      <c r="B1198" s="0" t="n">
        <v>43.4</v>
      </c>
      <c r="C1198" s="0" t="n">
        <v>19.633</v>
      </c>
      <c r="D1198" s="0" t="n">
        <v>16.828</v>
      </c>
      <c r="E1198" s="0" t="n">
        <v>23.384</v>
      </c>
      <c r="F1198" s="0" t="n">
        <v>0.1236</v>
      </c>
      <c r="G1198" s="12" t="n">
        <f aca="false">(A1198+(C1198*D1198*COS(RADIANS(E1198))^2-F1198*C1198*D1198)*TAN(RADIANS(B1198)))/(C1198*D1198*SIN(RADIANS(E1198))*COS(RADIANS(E1198)))</f>
        <v>1.9273122212222</v>
      </c>
    </row>
    <row r="1199" customFormat="false" ht="15" hidden="false" customHeight="false" outlineLevel="0" collapsed="false">
      <c r="A1199" s="0" t="n">
        <v>14.532</v>
      </c>
      <c r="B1199" s="0" t="n">
        <v>33.412</v>
      </c>
      <c r="C1199" s="0" t="n">
        <v>19.433</v>
      </c>
      <c r="D1199" s="0" t="n">
        <v>13.379</v>
      </c>
      <c r="E1199" s="0" t="n">
        <v>25.846</v>
      </c>
      <c r="F1199" s="0" t="n">
        <v>0.1325</v>
      </c>
      <c r="G1199" s="12" t="n">
        <f aca="false">(A1199+(C1199*D1199*COS(RADIANS(E1199))^2-F1199*C1199*D1199)*TAN(RADIANS(B1199)))/(C1199*D1199*SIN(RADIANS(E1199))*COS(RADIANS(E1199)))</f>
        <v>1.2814984255526</v>
      </c>
    </row>
    <row r="1200" customFormat="false" ht="15" hidden="false" customHeight="false" outlineLevel="0" collapsed="false">
      <c r="A1200" s="0" t="n">
        <v>11.009</v>
      </c>
      <c r="B1200" s="0" t="n">
        <v>37.928</v>
      </c>
      <c r="C1200" s="0" t="n">
        <v>22.121</v>
      </c>
      <c r="D1200" s="0" t="n">
        <v>15.415</v>
      </c>
      <c r="E1200" s="0" t="n">
        <v>30.756</v>
      </c>
      <c r="F1200" s="0" t="n">
        <v>0.2561</v>
      </c>
      <c r="G1200" s="12" t="n">
        <f aca="false">(A1200+(C1200*D1200*COS(RADIANS(E1200))^2-F1200*C1200*D1200)*TAN(RADIANS(B1200)))/(C1200*D1200*SIN(RADIANS(E1200))*COS(RADIANS(E1200)))</f>
        <v>0.928852092344902</v>
      </c>
    </row>
    <row r="1201" customFormat="false" ht="15" hidden="false" customHeight="false" outlineLevel="0" collapsed="false">
      <c r="A1201" s="0" t="n">
        <v>14.661</v>
      </c>
      <c r="B1201" s="0" t="n">
        <v>35.669</v>
      </c>
      <c r="C1201" s="0" t="n">
        <v>20.172</v>
      </c>
      <c r="D1201" s="0" t="n">
        <v>15.95</v>
      </c>
      <c r="E1201" s="0" t="n">
        <v>29.891</v>
      </c>
      <c r="F1201" s="0" t="n">
        <v>0.2135</v>
      </c>
      <c r="G1201" s="12" t="n">
        <f aca="false">(A1201+(C1201*D1201*COS(RADIANS(E1201))^2-F1201*C1201*D1201)*TAN(RADIANS(B1201)))/(C1201*D1201*SIN(RADIANS(E1201))*COS(RADIANS(E1201)))</f>
        <v>0.999455157595925</v>
      </c>
    </row>
    <row r="1202" customFormat="false" ht="15" hidden="false" customHeight="false" outlineLevel="0" collapsed="false">
      <c r="A1202" s="0" t="n">
        <v>8.599</v>
      </c>
      <c r="B1202" s="0" t="n">
        <v>30.209</v>
      </c>
      <c r="C1202" s="0" t="n">
        <v>19.601</v>
      </c>
      <c r="D1202" s="0" t="n">
        <v>11.532</v>
      </c>
      <c r="E1202" s="0" t="n">
        <v>28.442</v>
      </c>
      <c r="F1202" s="0" t="n">
        <v>0.0629</v>
      </c>
      <c r="G1202" s="12" t="n">
        <f aca="false">(A1202+(C1202*D1202*COS(RADIANS(E1202))^2-F1202*C1202*D1202)*TAN(RADIANS(B1202)))/(C1202*D1202*SIN(RADIANS(E1202))*COS(RADIANS(E1202)))</f>
        <v>1.0783084319703</v>
      </c>
    </row>
    <row r="1203" customFormat="false" ht="15" hidden="false" customHeight="false" outlineLevel="0" collapsed="false">
      <c r="A1203" s="0" t="n">
        <v>11.952</v>
      </c>
      <c r="B1203" s="0" t="n">
        <v>30.047</v>
      </c>
      <c r="C1203" s="0" t="n">
        <v>19.544</v>
      </c>
      <c r="D1203" s="0" t="n">
        <v>16.2</v>
      </c>
      <c r="E1203" s="0" t="n">
        <v>28.048</v>
      </c>
      <c r="F1203" s="0" t="n">
        <v>0.204</v>
      </c>
      <c r="G1203" s="12" t="n">
        <f aca="false">(A1203+(C1203*D1203*COS(RADIANS(E1203))^2-F1203*C1203*D1203)*TAN(RADIANS(B1203)))/(C1203*D1203*SIN(RADIANS(E1203))*COS(RADIANS(E1203)))</f>
        <v>0.892313526352694</v>
      </c>
    </row>
    <row r="1204" customFormat="false" ht="15" hidden="false" customHeight="false" outlineLevel="0" collapsed="false">
      <c r="A1204" s="0" t="n">
        <v>15.595</v>
      </c>
      <c r="B1204" s="0" t="n">
        <v>29.537</v>
      </c>
      <c r="C1204" s="0" t="n">
        <v>20.182</v>
      </c>
      <c r="D1204" s="0" t="n">
        <v>11.278</v>
      </c>
      <c r="E1204" s="0" t="n">
        <v>28.358</v>
      </c>
      <c r="F1204" s="0" t="n">
        <v>0.0181</v>
      </c>
      <c r="G1204" s="12" t="n">
        <f aca="false">(A1204+(C1204*D1204*COS(RADIANS(E1204))^2-F1204*C1204*D1204)*TAN(RADIANS(B1204)))/(C1204*D1204*SIN(RADIANS(E1204))*COS(RADIANS(E1204)))</f>
        <v>1.18917429756939</v>
      </c>
    </row>
    <row r="1205" customFormat="false" ht="15" hidden="false" customHeight="false" outlineLevel="0" collapsed="false">
      <c r="A1205" s="0" t="n">
        <v>16.465</v>
      </c>
      <c r="B1205" s="0" t="n">
        <v>35.285</v>
      </c>
      <c r="C1205" s="0" t="n">
        <v>21.196</v>
      </c>
      <c r="D1205" s="0" t="n">
        <v>16.17</v>
      </c>
      <c r="E1205" s="0" t="n">
        <v>27.805</v>
      </c>
      <c r="F1205" s="0" t="n">
        <v>0.2961</v>
      </c>
      <c r="G1205" s="12" t="n">
        <f aca="false">(A1205+(C1205*D1205*COS(RADIANS(E1205))^2-F1205*C1205*D1205)*TAN(RADIANS(B1205)))/(C1205*D1205*SIN(RADIANS(E1205))*COS(RADIANS(E1205)))</f>
        <v>0.950485464520911</v>
      </c>
    </row>
    <row r="1206" customFormat="false" ht="15" hidden="false" customHeight="false" outlineLevel="0" collapsed="false">
      <c r="A1206" s="0" t="n">
        <v>16.67</v>
      </c>
      <c r="B1206" s="0" t="n">
        <v>30.354</v>
      </c>
      <c r="C1206" s="0" t="n">
        <v>22.081</v>
      </c>
      <c r="D1206" s="0" t="n">
        <v>10.724</v>
      </c>
      <c r="E1206" s="0" t="n">
        <v>24.65</v>
      </c>
      <c r="F1206" s="0" t="n">
        <v>0</v>
      </c>
      <c r="G1206" s="12" t="n">
        <f aca="false">(A1206+(C1206*D1206*COS(RADIANS(E1206))^2-F1206*C1206*D1206)*TAN(RADIANS(B1206)))/(C1206*D1206*SIN(RADIANS(E1206))*COS(RADIANS(E1206)))</f>
        <v>1.46187044566542</v>
      </c>
    </row>
    <row r="1207" customFormat="false" ht="15" hidden="false" customHeight="false" outlineLevel="0" collapsed="false">
      <c r="A1207" s="0" t="n">
        <v>9.718</v>
      </c>
      <c r="B1207" s="0" t="n">
        <v>34.895</v>
      </c>
      <c r="C1207" s="0" t="n">
        <v>19.617</v>
      </c>
      <c r="D1207" s="0" t="n">
        <v>13.694</v>
      </c>
      <c r="E1207" s="0" t="n">
        <v>24.753</v>
      </c>
      <c r="F1207" s="0" t="n">
        <v>0.2782</v>
      </c>
      <c r="G1207" s="12" t="n">
        <f aca="false">(A1207+(C1207*D1207*COS(RADIANS(E1207))^2-F1207*C1207*D1207)*TAN(RADIANS(B1207)))/(C1207*D1207*SIN(RADIANS(E1207))*COS(RADIANS(E1207)))</f>
        <v>1.09757135252438</v>
      </c>
    </row>
    <row r="1208" customFormat="false" ht="15" hidden="false" customHeight="false" outlineLevel="0" collapsed="false">
      <c r="A1208" s="0" t="n">
        <v>18.419</v>
      </c>
      <c r="B1208" s="0" t="n">
        <v>35.643</v>
      </c>
      <c r="C1208" s="0" t="n">
        <v>19.382</v>
      </c>
      <c r="D1208" s="0" t="n">
        <v>16.687</v>
      </c>
      <c r="E1208" s="0" t="n">
        <v>26.053</v>
      </c>
      <c r="F1208" s="0" t="n">
        <v>0.1585</v>
      </c>
      <c r="G1208" s="12" t="n">
        <f aca="false">(A1208+(C1208*D1208*COS(RADIANS(E1208))^2-F1208*C1208*D1208)*TAN(RADIANS(B1208)))/(C1208*D1208*SIN(RADIANS(E1208))*COS(RADIANS(E1208)))</f>
        <v>1.32304385891824</v>
      </c>
    </row>
    <row r="1209" customFormat="false" ht="15" hidden="false" customHeight="false" outlineLevel="0" collapsed="false">
      <c r="A1209" s="0" t="n">
        <v>11.799</v>
      </c>
      <c r="B1209" s="0" t="n">
        <v>33.727</v>
      </c>
      <c r="C1209" s="0" t="n">
        <v>20.839</v>
      </c>
      <c r="D1209" s="0" t="n">
        <v>13.624</v>
      </c>
      <c r="E1209" s="0" t="n">
        <v>23.184</v>
      </c>
      <c r="F1209" s="0" t="n">
        <v>0.1462</v>
      </c>
      <c r="G1209" s="12" t="n">
        <f aca="false">(A1209+(C1209*D1209*COS(RADIANS(E1209))^2-F1209*C1209*D1209)*TAN(RADIANS(B1209)))/(C1209*D1209*SIN(RADIANS(E1209))*COS(RADIANS(E1209)))</f>
        <v>1.40396197097116</v>
      </c>
    </row>
    <row r="1210" customFormat="false" ht="15" hidden="false" customHeight="false" outlineLevel="0" collapsed="false">
      <c r="A1210" s="0" t="n">
        <v>17.531</v>
      </c>
      <c r="B1210" s="0" t="n">
        <v>34.413</v>
      </c>
      <c r="C1210" s="0" t="n">
        <v>20.294</v>
      </c>
      <c r="D1210" s="0" t="n">
        <v>20.244</v>
      </c>
      <c r="E1210" s="0" t="n">
        <v>27.759</v>
      </c>
      <c r="F1210" s="0" t="n">
        <v>0.0874</v>
      </c>
      <c r="G1210" s="12" t="n">
        <f aca="false">(A1210+(C1210*D1210*COS(RADIANS(E1210))^2-F1210*C1210*D1210)*TAN(RADIANS(B1210)))/(C1210*D1210*SIN(RADIANS(E1210))*COS(RADIANS(E1210)))</f>
        <v>1.25983007871681</v>
      </c>
    </row>
    <row r="1211" customFormat="false" ht="15" hidden="false" customHeight="false" outlineLevel="0" collapsed="false">
      <c r="A1211" s="0" t="n">
        <v>14.957</v>
      </c>
      <c r="B1211" s="0" t="n">
        <v>37.938</v>
      </c>
      <c r="C1211" s="0" t="n">
        <v>19.004</v>
      </c>
      <c r="D1211" s="0" t="n">
        <v>19.274</v>
      </c>
      <c r="E1211" s="0" t="n">
        <v>28.496</v>
      </c>
      <c r="F1211" s="0" t="n">
        <v>0.1722</v>
      </c>
      <c r="G1211" s="12" t="n">
        <f aca="false">(A1211+(C1211*D1211*COS(RADIANS(E1211))^2-F1211*C1211*D1211)*TAN(RADIANS(B1211)))/(C1211*D1211*SIN(RADIANS(E1211))*COS(RADIANS(E1211)))</f>
        <v>1.21322049755746</v>
      </c>
    </row>
    <row r="1212" customFormat="false" ht="15" hidden="false" customHeight="false" outlineLevel="0" collapsed="false">
      <c r="A1212" s="0" t="n">
        <v>9.494</v>
      </c>
      <c r="B1212" s="0" t="n">
        <v>32.534</v>
      </c>
      <c r="C1212" s="0" t="n">
        <v>18.353</v>
      </c>
      <c r="D1212" s="0" t="n">
        <v>16.012</v>
      </c>
      <c r="E1212" s="0" t="n">
        <v>27.938</v>
      </c>
      <c r="F1212" s="0" t="n">
        <v>0.1599</v>
      </c>
      <c r="G1212" s="12" t="n">
        <f aca="false">(A1212+(C1212*D1212*COS(RADIANS(E1212))^2-F1212*C1212*D1212)*TAN(RADIANS(B1212)))/(C1212*D1212*SIN(RADIANS(E1212))*COS(RADIANS(E1212)))</f>
        <v>1.03448430981346</v>
      </c>
    </row>
    <row r="1213" customFormat="false" ht="15" hidden="false" customHeight="false" outlineLevel="0" collapsed="false">
      <c r="A1213" s="0" t="n">
        <v>13.735</v>
      </c>
      <c r="B1213" s="0" t="n">
        <v>35.366</v>
      </c>
      <c r="C1213" s="0" t="n">
        <v>18.749</v>
      </c>
      <c r="D1213" s="0" t="n">
        <v>23.506</v>
      </c>
      <c r="E1213" s="0" t="n">
        <v>26.571</v>
      </c>
      <c r="F1213" s="0" t="n">
        <v>0.1488</v>
      </c>
      <c r="G1213" s="12" t="n">
        <f aca="false">(A1213+(C1213*D1213*COS(RADIANS(E1213))^2-F1213*C1213*D1213)*TAN(RADIANS(B1213)))/(C1213*D1213*SIN(RADIANS(E1213))*COS(RADIANS(E1213)))</f>
        <v>1.2330799403304</v>
      </c>
    </row>
    <row r="1214" customFormat="false" ht="15" hidden="false" customHeight="false" outlineLevel="0" collapsed="false">
      <c r="A1214" s="0" t="n">
        <v>16.461</v>
      </c>
      <c r="B1214" s="0" t="n">
        <v>28.451</v>
      </c>
      <c r="C1214" s="0" t="n">
        <v>19.55</v>
      </c>
      <c r="D1214" s="0" t="n">
        <v>12.617</v>
      </c>
      <c r="E1214" s="0" t="n">
        <v>24.026</v>
      </c>
      <c r="F1214" s="0" t="n">
        <v>0.1375</v>
      </c>
      <c r="G1214" s="12" t="n">
        <f aca="false">(A1214+(C1214*D1214*COS(RADIANS(E1214))^2-F1214*C1214*D1214)*TAN(RADIANS(B1214)))/(C1214*D1214*SIN(RADIANS(E1214))*COS(RADIANS(E1214)))</f>
        <v>1.19463564486109</v>
      </c>
    </row>
    <row r="1215" customFormat="false" ht="15" hidden="false" customHeight="false" outlineLevel="0" collapsed="false">
      <c r="A1215" s="0" t="n">
        <v>17.452</v>
      </c>
      <c r="B1215" s="0" t="n">
        <v>35.939</v>
      </c>
      <c r="C1215" s="0" t="n">
        <v>21.413</v>
      </c>
      <c r="D1215" s="0" t="n">
        <v>14.135</v>
      </c>
      <c r="E1215" s="0" t="n">
        <v>29.211</v>
      </c>
      <c r="F1215" s="0" t="n">
        <v>0.1284</v>
      </c>
      <c r="G1215" s="12" t="n">
        <f aca="false">(A1215+(C1215*D1215*COS(RADIANS(E1215))^2-F1215*C1215*D1215)*TAN(RADIANS(B1215)))/(C1215*D1215*SIN(RADIANS(E1215))*COS(RADIANS(E1215)))</f>
        <v>1.21335003206474</v>
      </c>
    </row>
    <row r="1216" customFormat="false" ht="15" hidden="false" customHeight="false" outlineLevel="0" collapsed="false">
      <c r="A1216" s="0" t="n">
        <v>14.436</v>
      </c>
      <c r="B1216" s="0" t="n">
        <v>39.095</v>
      </c>
      <c r="C1216" s="0" t="n">
        <v>18.489</v>
      </c>
      <c r="D1216" s="0" t="n">
        <v>19.758</v>
      </c>
      <c r="E1216" s="0" t="n">
        <v>28.499</v>
      </c>
      <c r="F1216" s="0" t="n">
        <v>0.1339</v>
      </c>
      <c r="G1216" s="12" t="n">
        <f aca="false">(A1216+(C1216*D1216*COS(RADIANS(E1216))^2-F1216*C1216*D1216)*TAN(RADIANS(B1216)))/(C1216*D1216*SIN(RADIANS(E1216))*COS(RADIANS(E1216)))</f>
        <v>1.33134303068813</v>
      </c>
    </row>
    <row r="1217" customFormat="false" ht="15" hidden="false" customHeight="false" outlineLevel="0" collapsed="false">
      <c r="A1217" s="0" t="n">
        <v>21.127</v>
      </c>
      <c r="B1217" s="0" t="n">
        <v>37.563</v>
      </c>
      <c r="C1217" s="0" t="n">
        <v>20.237</v>
      </c>
      <c r="D1217" s="0" t="n">
        <v>12.39</v>
      </c>
      <c r="E1217" s="0" t="n">
        <v>29.251</v>
      </c>
      <c r="F1217" s="0" t="n">
        <v>0.2692</v>
      </c>
      <c r="G1217" s="12" t="n">
        <f aca="false">(A1217+(C1217*D1217*COS(RADIANS(E1217))^2-F1217*C1217*D1217)*TAN(RADIANS(B1217)))/(C1217*D1217*SIN(RADIANS(E1217))*COS(RADIANS(E1217)))</f>
        <v>1.08524436404912</v>
      </c>
    </row>
    <row r="1218" customFormat="false" ht="15" hidden="false" customHeight="false" outlineLevel="0" collapsed="false">
      <c r="A1218" s="0" t="n">
        <v>19.03</v>
      </c>
      <c r="B1218" s="0" t="n">
        <v>34.43</v>
      </c>
      <c r="C1218" s="0" t="n">
        <v>20.356</v>
      </c>
      <c r="D1218" s="0" t="n">
        <v>12.87</v>
      </c>
      <c r="E1218" s="0" t="n">
        <v>28.203</v>
      </c>
      <c r="F1218" s="0" t="n">
        <v>0.202</v>
      </c>
      <c r="G1218" s="12" t="n">
        <f aca="false">(A1218+(C1218*D1218*COS(RADIANS(E1218))^2-F1218*C1218*D1218)*TAN(RADIANS(B1218)))/(C1218*D1218*SIN(RADIANS(E1218))*COS(RADIANS(E1218)))</f>
        <v>1.12020401399837</v>
      </c>
    </row>
    <row r="1219" customFormat="false" ht="15" hidden="false" customHeight="false" outlineLevel="0" collapsed="false">
      <c r="A1219" s="0" t="n">
        <v>13.973</v>
      </c>
      <c r="B1219" s="0" t="n">
        <v>33.933</v>
      </c>
      <c r="C1219" s="0" t="n">
        <v>21.046</v>
      </c>
      <c r="D1219" s="0" t="n">
        <v>13.524</v>
      </c>
      <c r="E1219" s="0" t="n">
        <v>31.158</v>
      </c>
      <c r="F1219" s="0" t="n">
        <v>0.1628</v>
      </c>
      <c r="G1219" s="12" t="n">
        <f aca="false">(A1219+(C1219*D1219*COS(RADIANS(E1219))^2-F1219*C1219*D1219)*TAN(RADIANS(B1219)))/(C1219*D1219*SIN(RADIANS(E1219))*COS(RADIANS(E1219)))</f>
        <v>0.976270398843664</v>
      </c>
    </row>
    <row r="1220" customFormat="false" ht="15" hidden="false" customHeight="false" outlineLevel="0" collapsed="false">
      <c r="A1220" s="0" t="n">
        <v>18</v>
      </c>
      <c r="B1220" s="0" t="n">
        <v>40.222</v>
      </c>
      <c r="C1220" s="0" t="n">
        <v>18.857</v>
      </c>
      <c r="D1220" s="0" t="n">
        <v>14.787</v>
      </c>
      <c r="E1220" s="0" t="n">
        <v>28.455</v>
      </c>
      <c r="F1220" s="0" t="n">
        <v>0.1165</v>
      </c>
      <c r="G1220" s="12" t="n">
        <f aca="false">(A1220+(C1220*D1220*COS(RADIANS(E1220))^2-F1220*C1220*D1220)*TAN(RADIANS(B1220)))/(C1220*D1220*SIN(RADIANS(E1220))*COS(RADIANS(E1220)))</f>
        <v>1.47945135376865</v>
      </c>
    </row>
    <row r="1221" customFormat="false" ht="15" hidden="false" customHeight="false" outlineLevel="0" collapsed="false">
      <c r="A1221" s="0" t="n">
        <v>22.735</v>
      </c>
      <c r="B1221" s="0" t="n">
        <v>37.082</v>
      </c>
      <c r="C1221" s="0" t="n">
        <v>19.326</v>
      </c>
      <c r="D1221" s="0" t="n">
        <v>13.86</v>
      </c>
      <c r="E1221" s="0" t="n">
        <v>26.749</v>
      </c>
      <c r="F1221" s="0" t="n">
        <v>0.1396</v>
      </c>
      <c r="G1221" s="12" t="n">
        <f aca="false">(A1221+(C1221*D1221*COS(RADIANS(E1221))^2-F1221*C1221*D1221)*TAN(RADIANS(B1221)))/(C1221*D1221*SIN(RADIANS(E1221))*COS(RADIANS(E1221)))</f>
        <v>1.44820969975935</v>
      </c>
    </row>
    <row r="1222" customFormat="false" ht="15" hidden="false" customHeight="false" outlineLevel="0" collapsed="false">
      <c r="A1222" s="0" t="n">
        <v>22.842</v>
      </c>
      <c r="B1222" s="0" t="n">
        <v>35.378</v>
      </c>
      <c r="C1222" s="0" t="n">
        <v>20.471</v>
      </c>
      <c r="D1222" s="0" t="n">
        <v>17.073</v>
      </c>
      <c r="E1222" s="0" t="n">
        <v>31.258</v>
      </c>
      <c r="F1222" s="0" t="n">
        <v>0.1235</v>
      </c>
      <c r="G1222" s="12" t="n">
        <f aca="false">(A1222+(C1222*D1222*COS(RADIANS(E1222))^2-F1222*C1222*D1222)*TAN(RADIANS(B1222)))/(C1222*D1222*SIN(RADIANS(E1222))*COS(RADIANS(E1222)))</f>
        <v>1.11945286603687</v>
      </c>
    </row>
    <row r="1223" customFormat="false" ht="15" hidden="false" customHeight="false" outlineLevel="0" collapsed="false">
      <c r="A1223" s="0" t="n">
        <v>10.088</v>
      </c>
      <c r="B1223" s="0" t="n">
        <v>37.142</v>
      </c>
      <c r="C1223" s="0" t="n">
        <v>20.921</v>
      </c>
      <c r="D1223" s="0" t="n">
        <v>15.775</v>
      </c>
      <c r="E1223" s="0" t="n">
        <v>26.689</v>
      </c>
      <c r="F1223" s="0" t="n">
        <v>0.053</v>
      </c>
      <c r="G1223" s="12" t="n">
        <f aca="false">(A1223+(C1223*D1223*COS(RADIANS(E1223))^2-F1223*C1223*D1223)*TAN(RADIANS(B1223)))/(C1223*D1223*SIN(RADIANS(E1223))*COS(RADIANS(E1223)))</f>
        <v>1.48286941539872</v>
      </c>
    </row>
    <row r="1224" customFormat="false" ht="15" hidden="false" customHeight="false" outlineLevel="0" collapsed="false">
      <c r="A1224" s="0" t="n">
        <v>11.294</v>
      </c>
      <c r="B1224" s="0" t="n">
        <v>33.493</v>
      </c>
      <c r="C1224" s="0" t="n">
        <v>20.078</v>
      </c>
      <c r="D1224" s="0" t="n">
        <v>12.174</v>
      </c>
      <c r="E1224" s="0" t="n">
        <v>30.074</v>
      </c>
      <c r="F1224" s="0" t="n">
        <v>0.1134</v>
      </c>
      <c r="G1224" s="12" t="n">
        <f aca="false">(A1224+(C1224*D1224*COS(RADIANS(E1224))^2-F1224*C1224*D1224)*TAN(RADIANS(B1224)))/(C1224*D1224*SIN(RADIANS(E1224))*COS(RADIANS(E1224)))</f>
        <v>1.07621769543854</v>
      </c>
    </row>
    <row r="1225" customFormat="false" ht="15" hidden="false" customHeight="false" outlineLevel="0" collapsed="false">
      <c r="A1225" s="0" t="n">
        <v>20.94</v>
      </c>
      <c r="B1225" s="0" t="n">
        <v>34.728</v>
      </c>
      <c r="C1225" s="0" t="n">
        <v>20.256</v>
      </c>
      <c r="D1225" s="0" t="n">
        <v>17.608</v>
      </c>
      <c r="E1225" s="0" t="n">
        <v>27.591</v>
      </c>
      <c r="F1225" s="0" t="n">
        <v>0.0431</v>
      </c>
      <c r="G1225" s="12" t="n">
        <f aca="false">(A1225+(C1225*D1225*COS(RADIANS(E1225))^2-F1225*C1225*D1225)*TAN(RADIANS(B1225)))/(C1225*D1225*SIN(RADIANS(E1225))*COS(RADIANS(E1225)))</f>
        <v>1.39663910628235</v>
      </c>
    </row>
    <row r="1226" customFormat="false" ht="15" hidden="false" customHeight="false" outlineLevel="0" collapsed="false">
      <c r="A1226" s="0" t="n">
        <v>10.767</v>
      </c>
      <c r="B1226" s="0" t="n">
        <v>32.967</v>
      </c>
      <c r="C1226" s="0" t="n">
        <v>20.715</v>
      </c>
      <c r="D1226" s="0" t="n">
        <v>16.766</v>
      </c>
      <c r="E1226" s="0" t="n">
        <v>27.567</v>
      </c>
      <c r="F1226" s="0" t="n">
        <v>0.1262</v>
      </c>
      <c r="G1226" s="12" t="n">
        <f aca="false">(A1226+(C1226*D1226*COS(RADIANS(E1226))^2-F1226*C1226*D1226)*TAN(RADIANS(B1226)))/(C1226*D1226*SIN(RADIANS(E1226))*COS(RADIANS(E1226)))</f>
        <v>1.11842709335019</v>
      </c>
    </row>
    <row r="1227" customFormat="false" ht="15" hidden="false" customHeight="false" outlineLevel="0" collapsed="false">
      <c r="A1227" s="0" t="n">
        <v>9.71</v>
      </c>
      <c r="B1227" s="0" t="n">
        <v>37.828</v>
      </c>
      <c r="C1227" s="0" t="n">
        <v>18.255</v>
      </c>
      <c r="D1227" s="0" t="n">
        <v>16.489</v>
      </c>
      <c r="E1227" s="0" t="n">
        <v>28.89</v>
      </c>
      <c r="F1227" s="0" t="n">
        <v>0.3047</v>
      </c>
      <c r="G1227" s="12" t="n">
        <f aca="false">(A1227+(C1227*D1227*COS(RADIANS(E1227))^2-F1227*C1227*D1227)*TAN(RADIANS(B1227)))/(C1227*D1227*SIN(RADIANS(E1227))*COS(RADIANS(E1227)))</f>
        <v>0.924094948273832</v>
      </c>
    </row>
    <row r="1228" customFormat="false" ht="15" hidden="false" customHeight="false" outlineLevel="0" collapsed="false">
      <c r="A1228" s="0" t="n">
        <v>13.055</v>
      </c>
      <c r="B1228" s="0" t="n">
        <v>32.327</v>
      </c>
      <c r="C1228" s="0" t="n">
        <v>19.457</v>
      </c>
      <c r="D1228" s="0" t="n">
        <v>13.414</v>
      </c>
      <c r="E1228" s="0" t="n">
        <v>28.378</v>
      </c>
      <c r="F1228" s="0" t="n">
        <v>0.1109</v>
      </c>
      <c r="G1228" s="12" t="n">
        <f aca="false">(A1228+(C1228*D1228*COS(RADIANS(E1228))^2-F1228*C1228*D1228)*TAN(RADIANS(B1228)))/(C1228*D1228*SIN(RADIANS(E1228))*COS(RADIANS(E1228)))</f>
        <v>1.12326293295429</v>
      </c>
    </row>
    <row r="1229" customFormat="false" ht="15" hidden="false" customHeight="false" outlineLevel="0" collapsed="false">
      <c r="A1229" s="0" t="n">
        <v>16.681</v>
      </c>
      <c r="B1229" s="0" t="n">
        <v>33.637</v>
      </c>
      <c r="C1229" s="0" t="n">
        <v>19.19</v>
      </c>
      <c r="D1229" s="0" t="n">
        <v>17.013</v>
      </c>
      <c r="E1229" s="0" t="n">
        <v>23.232</v>
      </c>
      <c r="F1229" s="0" t="n">
        <v>0.2079</v>
      </c>
      <c r="G1229" s="12" t="n">
        <f aca="false">(A1229+(C1229*D1229*COS(RADIANS(E1229))^2-F1229*C1229*D1229)*TAN(RADIANS(B1229)))/(C1229*D1229*SIN(RADIANS(E1229))*COS(RADIANS(E1229)))</f>
        <v>1.30928946013395</v>
      </c>
    </row>
    <row r="1230" customFormat="false" ht="15" hidden="false" customHeight="false" outlineLevel="0" collapsed="false">
      <c r="A1230" s="0" t="n">
        <v>14.59</v>
      </c>
      <c r="B1230" s="0" t="n">
        <v>36.371</v>
      </c>
      <c r="C1230" s="0" t="n">
        <v>20.067</v>
      </c>
      <c r="D1230" s="0" t="n">
        <v>15.807</v>
      </c>
      <c r="E1230" s="0" t="n">
        <v>27.894</v>
      </c>
      <c r="F1230" s="0" t="n">
        <v>0.1174</v>
      </c>
      <c r="G1230" s="12" t="n">
        <f aca="false">(A1230+(C1230*D1230*COS(RADIANS(E1230))^2-F1230*C1230*D1230)*TAN(RADIANS(B1230)))/(C1230*D1230*SIN(RADIANS(E1230))*COS(RADIANS(E1230)))</f>
        <v>1.29345764491885</v>
      </c>
    </row>
    <row r="1231" customFormat="false" ht="15" hidden="false" customHeight="false" outlineLevel="0" collapsed="false">
      <c r="A1231" s="0" t="n">
        <v>12.398</v>
      </c>
      <c r="B1231" s="0" t="n">
        <v>27.414</v>
      </c>
      <c r="C1231" s="0" t="n">
        <v>18.661</v>
      </c>
      <c r="D1231" s="0" t="n">
        <v>12.975</v>
      </c>
      <c r="E1231" s="0" t="n">
        <v>27.706</v>
      </c>
      <c r="F1231" s="0" t="n">
        <v>0.3116</v>
      </c>
      <c r="G1231" s="12" t="n">
        <f aca="false">(A1231+(C1231*D1231*COS(RADIANS(E1231))^2-F1231*C1231*D1231)*TAN(RADIANS(B1231)))/(C1231*D1231*SIN(RADIANS(E1231))*COS(RADIANS(E1231)))</f>
        <v>0.719423932351372</v>
      </c>
    </row>
    <row r="1232" customFormat="false" ht="15" hidden="false" customHeight="false" outlineLevel="0" collapsed="false">
      <c r="A1232" s="0" t="n">
        <v>12.303</v>
      </c>
      <c r="B1232" s="0" t="n">
        <v>32.718</v>
      </c>
      <c r="C1232" s="0" t="n">
        <v>19.458</v>
      </c>
      <c r="D1232" s="0" t="n">
        <v>16.907</v>
      </c>
      <c r="E1232" s="0" t="n">
        <v>29.146</v>
      </c>
      <c r="F1232" s="0" t="n">
        <v>0.1325</v>
      </c>
      <c r="G1232" s="12" t="n">
        <f aca="false">(A1232+(C1232*D1232*COS(RADIANS(E1232))^2-F1232*C1232*D1232)*TAN(RADIANS(B1232)))/(C1232*D1232*SIN(RADIANS(E1232))*COS(RADIANS(E1232)))</f>
        <v>1.03985005722017</v>
      </c>
    </row>
    <row r="1233" customFormat="false" ht="15" hidden="false" customHeight="false" outlineLevel="0" collapsed="false">
      <c r="A1233" s="0" t="n">
        <v>12.151</v>
      </c>
      <c r="B1233" s="0" t="n">
        <v>32.327</v>
      </c>
      <c r="C1233" s="0" t="n">
        <v>19.712</v>
      </c>
      <c r="D1233" s="0" t="n">
        <v>16.676</v>
      </c>
      <c r="E1233" s="0" t="n">
        <v>26.795</v>
      </c>
      <c r="F1233" s="0" t="n">
        <v>0.3398</v>
      </c>
      <c r="G1233" s="12" t="n">
        <f aca="false">(A1233+(C1233*D1233*COS(RADIANS(E1233))^2-F1233*C1233*D1233)*TAN(RADIANS(B1233)))/(C1233*D1233*SIN(RADIANS(E1233))*COS(RADIANS(E1233)))</f>
        <v>0.810539059191219</v>
      </c>
    </row>
    <row r="1234" customFormat="false" ht="15" hidden="false" customHeight="false" outlineLevel="0" collapsed="false">
      <c r="A1234" s="0" t="n">
        <v>11.482</v>
      </c>
      <c r="B1234" s="0" t="n">
        <v>35.602</v>
      </c>
      <c r="C1234" s="0" t="n">
        <v>20.089</v>
      </c>
      <c r="D1234" s="0" t="n">
        <v>16.268</v>
      </c>
      <c r="E1234" s="0" t="n">
        <v>26.854</v>
      </c>
      <c r="F1234" s="0" t="n">
        <v>0.0905</v>
      </c>
      <c r="G1234" s="12" t="n">
        <f aca="false">(A1234+(C1234*D1234*COS(RADIANS(E1234))^2-F1234*C1234*D1234)*TAN(RADIANS(B1234)))/(C1234*D1234*SIN(RADIANS(E1234))*COS(RADIANS(E1234)))</f>
        <v>1.34048768871614</v>
      </c>
    </row>
    <row r="1235" customFormat="false" ht="15" hidden="false" customHeight="false" outlineLevel="0" collapsed="false">
      <c r="A1235" s="0" t="n">
        <v>24.127</v>
      </c>
      <c r="B1235" s="0" t="n">
        <v>35.556</v>
      </c>
      <c r="C1235" s="0" t="n">
        <v>20.934</v>
      </c>
      <c r="D1235" s="0" t="n">
        <v>18.914</v>
      </c>
      <c r="E1235" s="0" t="n">
        <v>31.083</v>
      </c>
      <c r="F1235" s="0" t="n">
        <v>0.0945</v>
      </c>
      <c r="G1235" s="12" t="n">
        <f aca="false">(A1235+(C1235*D1235*COS(RADIANS(E1235))^2-F1235*C1235*D1235)*TAN(RADIANS(B1235)))/(C1235*D1235*SIN(RADIANS(E1235))*COS(RADIANS(E1235)))</f>
        <v>1.17073018926125</v>
      </c>
    </row>
    <row r="1236" customFormat="false" ht="15" hidden="false" customHeight="false" outlineLevel="0" collapsed="false">
      <c r="A1236" s="0" t="n">
        <v>16.19</v>
      </c>
      <c r="B1236" s="0" t="n">
        <v>40.975</v>
      </c>
      <c r="C1236" s="0" t="n">
        <v>22.391</v>
      </c>
      <c r="D1236" s="0" t="n">
        <v>13.075</v>
      </c>
      <c r="E1236" s="0" t="n">
        <v>24.425</v>
      </c>
      <c r="F1236" s="0" t="n">
        <v>0.1126</v>
      </c>
      <c r="G1236" s="12" t="n">
        <f aca="false">(A1236+(C1236*D1236*COS(RADIANS(E1236))^2-F1236*C1236*D1236)*TAN(RADIANS(B1236)))/(C1236*D1236*SIN(RADIANS(E1236))*COS(RADIANS(E1236)))</f>
        <v>1.79955623399244</v>
      </c>
    </row>
    <row r="1237" customFormat="false" ht="15" hidden="false" customHeight="false" outlineLevel="0" collapsed="false">
      <c r="A1237" s="0" t="n">
        <v>18.547</v>
      </c>
      <c r="B1237" s="0" t="n">
        <v>32.231</v>
      </c>
      <c r="C1237" s="0" t="n">
        <v>20.174</v>
      </c>
      <c r="D1237" s="0" t="n">
        <v>21.777</v>
      </c>
      <c r="E1237" s="0" t="n">
        <v>29.208</v>
      </c>
      <c r="F1237" s="0" t="n">
        <v>0.0954</v>
      </c>
      <c r="G1237" s="12" t="n">
        <f aca="false">(A1237+(C1237*D1237*COS(RADIANS(E1237))^2-F1237*C1237*D1237)*TAN(RADIANS(B1237)))/(C1237*D1237*SIN(RADIANS(E1237))*COS(RADIANS(E1237)))</f>
        <v>1.08565800244475</v>
      </c>
    </row>
    <row r="1238" customFormat="false" ht="15" hidden="false" customHeight="false" outlineLevel="0" collapsed="false">
      <c r="A1238" s="0" t="n">
        <v>13.044</v>
      </c>
      <c r="B1238" s="0" t="n">
        <v>30.469</v>
      </c>
      <c r="C1238" s="0" t="n">
        <v>18.896</v>
      </c>
      <c r="D1238" s="0" t="n">
        <v>12.808</v>
      </c>
      <c r="E1238" s="0" t="n">
        <v>33.466</v>
      </c>
      <c r="F1238" s="0" t="n">
        <v>0.1628</v>
      </c>
      <c r="G1238" s="12" t="n">
        <f aca="false">(A1238+(C1238*D1238*COS(RADIANS(E1238))^2-F1238*C1238*D1238)*TAN(RADIANS(B1238)))/(C1238*D1238*SIN(RADIANS(E1238))*COS(RADIANS(E1238)))</f>
        <v>0.798953435912237</v>
      </c>
    </row>
    <row r="1239" customFormat="false" ht="15" hidden="false" customHeight="false" outlineLevel="0" collapsed="false">
      <c r="A1239" s="0" t="n">
        <v>14.256</v>
      </c>
      <c r="B1239" s="0" t="n">
        <v>38.634</v>
      </c>
      <c r="C1239" s="0" t="n">
        <v>20.366</v>
      </c>
      <c r="D1239" s="0" t="n">
        <v>15.248</v>
      </c>
      <c r="E1239" s="0" t="n">
        <v>26.92</v>
      </c>
      <c r="F1239" s="0" t="n">
        <v>0.0995</v>
      </c>
      <c r="G1239" s="12" t="n">
        <f aca="false">(A1239+(C1239*D1239*COS(RADIANS(E1239))^2-F1239*C1239*D1239)*TAN(RADIANS(B1239)))/(C1239*D1239*SIN(RADIANS(E1239))*COS(RADIANS(E1239)))</f>
        <v>1.490787256408</v>
      </c>
    </row>
    <row r="1240" customFormat="false" ht="15" hidden="false" customHeight="false" outlineLevel="0" collapsed="false">
      <c r="A1240" s="0" t="n">
        <v>12.146</v>
      </c>
      <c r="B1240" s="0" t="n">
        <v>33.068</v>
      </c>
      <c r="C1240" s="0" t="n">
        <v>19.917</v>
      </c>
      <c r="D1240" s="0" t="n">
        <v>11.513</v>
      </c>
      <c r="E1240" s="0" t="n">
        <v>26.127</v>
      </c>
      <c r="F1240" s="0" t="n">
        <v>0.1653</v>
      </c>
      <c r="G1240" s="12" t="n">
        <f aca="false">(A1240+(C1240*D1240*COS(RADIANS(E1240))^2-F1240*C1240*D1240)*TAN(RADIANS(B1240)))/(C1240*D1240*SIN(RADIANS(E1240))*COS(RADIANS(E1240)))</f>
        <v>1.1892242268894</v>
      </c>
    </row>
    <row r="1241" customFormat="false" ht="15" hidden="false" customHeight="false" outlineLevel="0" collapsed="false">
      <c r="A1241" s="0" t="n">
        <v>4.393</v>
      </c>
      <c r="B1241" s="0" t="n">
        <v>35.392</v>
      </c>
      <c r="C1241" s="0" t="n">
        <v>20.42</v>
      </c>
      <c r="D1241" s="0" t="n">
        <v>13.041</v>
      </c>
      <c r="E1241" s="0" t="n">
        <v>27.557</v>
      </c>
      <c r="F1241" s="0" t="n">
        <v>0.1604</v>
      </c>
      <c r="G1241" s="12" t="n">
        <f aca="false">(A1241+(C1241*D1241*COS(RADIANS(E1241))^2-F1241*C1241*D1241)*TAN(RADIANS(B1241)))/(C1241*D1241*SIN(RADIANS(E1241))*COS(RADIANS(E1241)))</f>
        <v>1.1238357806083</v>
      </c>
    </row>
    <row r="1242" customFormat="false" ht="15" hidden="false" customHeight="false" outlineLevel="0" collapsed="false">
      <c r="A1242" s="0" t="n">
        <v>9.488</v>
      </c>
      <c r="B1242" s="0" t="n">
        <v>33.464</v>
      </c>
      <c r="C1242" s="0" t="n">
        <v>20.134</v>
      </c>
      <c r="D1242" s="0" t="n">
        <v>6.376</v>
      </c>
      <c r="E1242" s="0" t="n">
        <v>28.44</v>
      </c>
      <c r="F1242" s="0" t="n">
        <v>0.0366</v>
      </c>
      <c r="G1242" s="12" t="n">
        <f aca="false">(A1242+(C1242*D1242*COS(RADIANS(E1242))^2-F1242*C1242*D1242)*TAN(RADIANS(B1242)))/(C1242*D1242*SIN(RADIANS(E1242))*COS(RADIANS(E1242)))</f>
        <v>1.33914695288817</v>
      </c>
    </row>
    <row r="1243" customFormat="false" ht="15" hidden="false" customHeight="false" outlineLevel="0" collapsed="false">
      <c r="A1243" s="0" t="n">
        <v>7.758</v>
      </c>
      <c r="B1243" s="0" t="n">
        <v>36.834</v>
      </c>
      <c r="C1243" s="0" t="n">
        <v>19.047</v>
      </c>
      <c r="D1243" s="0" t="n">
        <v>15.78</v>
      </c>
      <c r="E1243" s="0" t="n">
        <v>30.022</v>
      </c>
      <c r="F1243" s="0" t="n">
        <v>0.1956</v>
      </c>
      <c r="G1243" s="12" t="n">
        <f aca="false">(A1243+(C1243*D1243*COS(RADIANS(E1243))^2-F1243*C1243*D1243)*TAN(RADIANS(B1243)))/(C1243*D1243*SIN(RADIANS(E1243))*COS(RADIANS(E1243)))</f>
        <v>1.01757947593284</v>
      </c>
    </row>
    <row r="1244" customFormat="false" ht="15" hidden="false" customHeight="false" outlineLevel="0" collapsed="false">
      <c r="A1244" s="0" t="n">
        <v>6.001</v>
      </c>
      <c r="B1244" s="0" t="n">
        <v>36.031</v>
      </c>
      <c r="C1244" s="0" t="n">
        <v>20.532</v>
      </c>
      <c r="D1244" s="0" t="n">
        <v>15.21</v>
      </c>
      <c r="E1244" s="0" t="n">
        <v>28.028</v>
      </c>
      <c r="F1244" s="0" t="n">
        <v>0.0616</v>
      </c>
      <c r="G1244" s="12" t="n">
        <f aca="false">(A1244+(C1244*D1244*COS(RADIANS(E1244))^2-F1244*C1244*D1244)*TAN(RADIANS(B1244)))/(C1244*D1244*SIN(RADIANS(E1244))*COS(RADIANS(E1244)))</f>
        <v>1.30467831295707</v>
      </c>
    </row>
    <row r="1245" customFormat="false" ht="15" hidden="false" customHeight="false" outlineLevel="0" collapsed="false">
      <c r="A1245" s="0" t="n">
        <v>10.219</v>
      </c>
      <c r="B1245" s="0" t="n">
        <v>33.875</v>
      </c>
      <c r="C1245" s="0" t="n">
        <v>21.032</v>
      </c>
      <c r="D1245" s="0" t="n">
        <v>15.402</v>
      </c>
      <c r="E1245" s="0" t="n">
        <v>28.464</v>
      </c>
      <c r="F1245" s="0" t="n">
        <v>0.2093</v>
      </c>
      <c r="G1245" s="12" t="n">
        <f aca="false">(A1245+(C1245*D1245*COS(RADIANS(E1245))^2-F1245*C1245*D1245)*TAN(RADIANS(B1245)))/(C1245*D1245*SIN(RADIANS(E1245))*COS(RADIANS(E1245)))</f>
        <v>0.978243693933043</v>
      </c>
    </row>
    <row r="1246" customFormat="false" ht="15" hidden="false" customHeight="false" outlineLevel="0" collapsed="false">
      <c r="A1246" s="0" t="n">
        <v>20.3</v>
      </c>
      <c r="B1246" s="0" t="n">
        <v>35.061</v>
      </c>
      <c r="C1246" s="0" t="n">
        <v>20.321</v>
      </c>
      <c r="D1246" s="0" t="n">
        <v>15.417</v>
      </c>
      <c r="E1246" s="0" t="n">
        <v>31.508</v>
      </c>
      <c r="F1246" s="0" t="n">
        <v>0.2176</v>
      </c>
      <c r="G1246" s="12" t="n">
        <f aca="false">(A1246+(C1246*D1246*COS(RADIANS(E1246))^2-F1246*C1246*D1246)*TAN(RADIANS(B1246)))/(C1246*D1246*SIN(RADIANS(E1246))*COS(RADIANS(E1246)))</f>
        <v>0.947558250730727</v>
      </c>
    </row>
    <row r="1247" customFormat="false" ht="15" hidden="false" customHeight="false" outlineLevel="0" collapsed="false">
      <c r="A1247" s="0" t="n">
        <v>14.822</v>
      </c>
      <c r="B1247" s="0" t="n">
        <v>33.532</v>
      </c>
      <c r="C1247" s="0" t="n">
        <v>20.994</v>
      </c>
      <c r="D1247" s="0" t="n">
        <v>17.725</v>
      </c>
      <c r="E1247" s="0" t="n">
        <v>25.888</v>
      </c>
      <c r="F1247" s="0" t="n">
        <v>0.1467</v>
      </c>
      <c r="G1247" s="12" t="n">
        <f aca="false">(A1247+(C1247*D1247*COS(RADIANS(E1247))^2-F1247*C1247*D1247)*TAN(RADIANS(B1247)))/(C1247*D1247*SIN(RADIANS(E1247))*COS(RADIANS(E1247)))</f>
        <v>1.21938914588783</v>
      </c>
    </row>
    <row r="1248" customFormat="false" ht="15" hidden="false" customHeight="false" outlineLevel="0" collapsed="false">
      <c r="A1248" s="0" t="n">
        <v>20.162</v>
      </c>
      <c r="B1248" s="0" t="n">
        <v>35.157</v>
      </c>
      <c r="C1248" s="0" t="n">
        <v>20.121</v>
      </c>
      <c r="D1248" s="0" t="n">
        <v>15.985</v>
      </c>
      <c r="E1248" s="0" t="n">
        <v>30.99</v>
      </c>
      <c r="F1248" s="0" t="n">
        <v>0.1623</v>
      </c>
      <c r="G1248" s="12" t="n">
        <f aca="false">(A1248+(C1248*D1248*COS(RADIANS(E1248))^2-F1248*C1248*D1248)*TAN(RADIANS(B1248)))/(C1248*D1248*SIN(RADIANS(E1248))*COS(RADIANS(E1248)))</f>
        <v>1.05566208522008</v>
      </c>
    </row>
    <row r="1249" customFormat="false" ht="15" hidden="false" customHeight="false" outlineLevel="0" collapsed="false">
      <c r="A1249" s="0" t="n">
        <v>16.644</v>
      </c>
      <c r="B1249" s="0" t="n">
        <v>33.638</v>
      </c>
      <c r="C1249" s="0" t="n">
        <v>18.976</v>
      </c>
      <c r="D1249" s="0" t="n">
        <v>12.819</v>
      </c>
      <c r="E1249" s="0" t="n">
        <v>30.499</v>
      </c>
      <c r="F1249" s="0" t="n">
        <v>0.2214</v>
      </c>
      <c r="G1249" s="12" t="n">
        <f aca="false">(A1249+(C1249*D1249*COS(RADIANS(E1249))^2-F1249*C1249*D1249)*TAN(RADIANS(B1249)))/(C1249*D1249*SIN(RADIANS(E1249))*COS(RADIANS(E1249)))</f>
        <v>0.949198240343906</v>
      </c>
    </row>
    <row r="1250" customFormat="false" ht="15" hidden="false" customHeight="false" outlineLevel="0" collapsed="false">
      <c r="A1250" s="0" t="n">
        <v>18.13</v>
      </c>
      <c r="B1250" s="0" t="n">
        <v>39.384</v>
      </c>
      <c r="C1250" s="0" t="n">
        <v>20.315</v>
      </c>
      <c r="D1250" s="0" t="n">
        <v>8.998</v>
      </c>
      <c r="E1250" s="0" t="n">
        <v>29.167</v>
      </c>
      <c r="F1250" s="0" t="n">
        <v>0.1193</v>
      </c>
      <c r="G1250" s="12" t="n">
        <f aca="false">(A1250+(C1250*D1250*COS(RADIANS(E1250))^2-F1250*C1250*D1250)*TAN(RADIANS(B1250)))/(C1250*D1250*SIN(RADIANS(E1250))*COS(RADIANS(E1250)))</f>
        <v>1.47381440861703</v>
      </c>
    </row>
    <row r="1251" customFormat="false" ht="15" hidden="false" customHeight="false" outlineLevel="0" collapsed="false">
      <c r="A1251" s="0" t="n">
        <v>11.396</v>
      </c>
      <c r="B1251" s="0" t="n">
        <v>34.164</v>
      </c>
      <c r="C1251" s="0" t="n">
        <v>20.001</v>
      </c>
      <c r="D1251" s="0" t="n">
        <v>14.052</v>
      </c>
      <c r="E1251" s="0" t="n">
        <v>26.712</v>
      </c>
      <c r="F1251" s="0" t="n">
        <v>0.1003</v>
      </c>
      <c r="G1251" s="12" t="n">
        <f aca="false">(A1251+(C1251*D1251*COS(RADIANS(E1251))^2-F1251*C1251*D1251)*TAN(RADIANS(B1251)))/(C1251*D1251*SIN(RADIANS(E1251))*COS(RADIANS(E1251)))</f>
        <v>1.28015545354469</v>
      </c>
    </row>
    <row r="1252" customFormat="false" ht="15" hidden="false" customHeight="false" outlineLevel="0" collapsed="false">
      <c r="A1252" s="0" t="n">
        <v>17.096</v>
      </c>
      <c r="B1252" s="0" t="n">
        <v>33.623</v>
      </c>
      <c r="C1252" s="0" t="n">
        <v>20.186</v>
      </c>
      <c r="D1252" s="0" t="n">
        <v>15.867</v>
      </c>
      <c r="E1252" s="0" t="n">
        <v>23.09</v>
      </c>
      <c r="F1252" s="0" t="n">
        <v>0.1533</v>
      </c>
      <c r="G1252" s="12" t="n">
        <f aca="false">(A1252+(C1252*D1252*COS(RADIANS(E1252))^2-F1252*C1252*D1252)*TAN(RADIANS(B1252)))/(C1252*D1252*SIN(RADIANS(E1252))*COS(RADIANS(E1252)))</f>
        <v>1.4251538038473</v>
      </c>
    </row>
    <row r="1253" customFormat="false" ht="15" hidden="false" customHeight="false" outlineLevel="0" collapsed="false">
      <c r="A1253" s="0" t="n">
        <v>17.915</v>
      </c>
      <c r="B1253" s="0" t="n">
        <v>29.597</v>
      </c>
      <c r="C1253" s="0" t="n">
        <v>19.775</v>
      </c>
      <c r="D1253" s="0" t="n">
        <v>11.842</v>
      </c>
      <c r="E1253" s="0" t="n">
        <v>28.939</v>
      </c>
      <c r="F1253" s="0" t="n">
        <v>0.1763</v>
      </c>
      <c r="G1253" s="12" t="n">
        <f aca="false">(A1253+(C1253*D1253*COS(RADIANS(E1253))^2-F1253*C1253*D1253)*TAN(RADIANS(B1253)))/(C1253*D1253*SIN(RADIANS(E1253))*COS(RADIANS(E1253)))</f>
        <v>0.971474147721474</v>
      </c>
    </row>
    <row r="1254" customFormat="false" ht="15" hidden="false" customHeight="false" outlineLevel="0" collapsed="false">
      <c r="A1254" s="0" t="n">
        <v>12.693</v>
      </c>
      <c r="B1254" s="0" t="n">
        <v>31.74</v>
      </c>
      <c r="C1254" s="0" t="n">
        <v>19.781</v>
      </c>
      <c r="D1254" s="0" t="n">
        <v>18.433</v>
      </c>
      <c r="E1254" s="0" t="n">
        <v>28.006</v>
      </c>
      <c r="F1254" s="0" t="n">
        <v>0</v>
      </c>
      <c r="G1254" s="12" t="n">
        <f aca="false">(A1254+(C1254*D1254*COS(RADIANS(E1254))^2-F1254*C1254*D1254)*TAN(RADIANS(B1254)))/(C1254*D1254*SIN(RADIANS(E1254))*COS(RADIANS(E1254)))</f>
        <v>1.24704923273538</v>
      </c>
    </row>
    <row r="1255" customFormat="false" ht="15" hidden="false" customHeight="false" outlineLevel="0" collapsed="false">
      <c r="A1255" s="0" t="n">
        <v>17.238</v>
      </c>
      <c r="B1255" s="0" t="n">
        <v>36.784</v>
      </c>
      <c r="C1255" s="0" t="n">
        <v>20.513</v>
      </c>
      <c r="D1255" s="0" t="n">
        <v>11.799</v>
      </c>
      <c r="E1255" s="0" t="n">
        <v>30.039</v>
      </c>
      <c r="F1255" s="0" t="n">
        <v>0.1578</v>
      </c>
      <c r="G1255" s="12" t="n">
        <f aca="false">(A1255+(C1255*D1255*COS(RADIANS(E1255))^2-F1255*C1255*D1255)*TAN(RADIANS(B1255)))/(C1255*D1255*SIN(RADIANS(E1255))*COS(RADIANS(E1255)))</f>
        <v>1.18505139518893</v>
      </c>
    </row>
    <row r="1256" customFormat="false" ht="15" hidden="false" customHeight="false" outlineLevel="0" collapsed="false">
      <c r="A1256" s="0" t="n">
        <v>17.265</v>
      </c>
      <c r="B1256" s="0" t="n">
        <v>34.508</v>
      </c>
      <c r="C1256" s="0" t="n">
        <v>21.017</v>
      </c>
      <c r="D1256" s="0" t="n">
        <v>21.155</v>
      </c>
      <c r="E1256" s="0" t="n">
        <v>28.947</v>
      </c>
      <c r="F1256" s="0" t="n">
        <v>0.1014</v>
      </c>
      <c r="G1256" s="12" t="n">
        <f aca="false">(A1256+(C1256*D1256*COS(RADIANS(E1256))^2-F1256*C1256*D1256)*TAN(RADIANS(B1256)))/(C1256*D1256*SIN(RADIANS(E1256))*COS(RADIANS(E1256)))</f>
        <v>1.17005888045112</v>
      </c>
    </row>
    <row r="1257" customFormat="false" ht="15" hidden="false" customHeight="false" outlineLevel="0" collapsed="false">
      <c r="A1257" s="0" t="n">
        <v>12.802</v>
      </c>
      <c r="B1257" s="0" t="n">
        <v>34.003</v>
      </c>
      <c r="C1257" s="0" t="n">
        <v>18.414</v>
      </c>
      <c r="D1257" s="0" t="n">
        <v>11.322</v>
      </c>
      <c r="E1257" s="0" t="n">
        <v>24.676</v>
      </c>
      <c r="F1257" s="0" t="n">
        <v>0.1363</v>
      </c>
      <c r="G1257" s="12" t="n">
        <f aca="false">(A1257+(C1257*D1257*COS(RADIANS(E1257))^2-F1257*C1257*D1257)*TAN(RADIANS(B1257)))/(C1257*D1257*SIN(RADIANS(E1257))*COS(RADIANS(E1257)))</f>
        <v>1.38776736513749</v>
      </c>
    </row>
    <row r="1258" customFormat="false" ht="15" hidden="false" customHeight="false" outlineLevel="0" collapsed="false">
      <c r="A1258" s="0" t="n">
        <v>10.509</v>
      </c>
      <c r="B1258" s="0" t="n">
        <v>37.205</v>
      </c>
      <c r="C1258" s="0" t="n">
        <v>20.446</v>
      </c>
      <c r="D1258" s="0" t="n">
        <v>16.668</v>
      </c>
      <c r="E1258" s="0" t="n">
        <v>27.47</v>
      </c>
      <c r="F1258" s="0" t="n">
        <v>0.0188</v>
      </c>
      <c r="G1258" s="12" t="n">
        <f aca="false">(A1258+(C1258*D1258*COS(RADIANS(E1258))^2-F1258*C1258*D1258)*TAN(RADIANS(B1258)))/(C1258*D1258*SIN(RADIANS(E1258))*COS(RADIANS(E1258)))</f>
        <v>1.50070741897683</v>
      </c>
    </row>
    <row r="1259" customFormat="false" ht="15" hidden="false" customHeight="false" outlineLevel="0" collapsed="false">
      <c r="A1259" s="0" t="n">
        <v>10.263</v>
      </c>
      <c r="B1259" s="0" t="n">
        <v>38.923</v>
      </c>
      <c r="C1259" s="0" t="n">
        <v>21.51</v>
      </c>
      <c r="D1259" s="0" t="n">
        <v>14.634</v>
      </c>
      <c r="E1259" s="0" t="n">
        <v>28.997</v>
      </c>
      <c r="F1259" s="0" t="n">
        <v>0</v>
      </c>
      <c r="G1259" s="12" t="n">
        <f aca="false">(A1259+(C1259*D1259*COS(RADIANS(E1259))^2-F1259*C1259*D1259)*TAN(RADIANS(B1259)))/(C1259*D1259*SIN(RADIANS(E1259))*COS(RADIANS(E1259)))</f>
        <v>1.5339559304344</v>
      </c>
    </row>
    <row r="1260" customFormat="false" ht="15" hidden="false" customHeight="false" outlineLevel="0" collapsed="false">
      <c r="A1260" s="0" t="n">
        <v>15.346</v>
      </c>
      <c r="B1260" s="0" t="n">
        <v>32.453</v>
      </c>
      <c r="C1260" s="0" t="n">
        <v>20.829</v>
      </c>
      <c r="D1260" s="0" t="n">
        <v>19.049</v>
      </c>
      <c r="E1260" s="0" t="n">
        <v>29.893</v>
      </c>
      <c r="F1260" s="0" t="n">
        <v>0.2006</v>
      </c>
      <c r="G1260" s="12" t="n">
        <f aca="false">(A1260+(C1260*D1260*COS(RADIANS(E1260))^2-F1260*C1260*D1260)*TAN(RADIANS(B1260)))/(C1260*D1260*SIN(RADIANS(E1260))*COS(RADIANS(E1260)))</f>
        <v>0.900484473412511</v>
      </c>
    </row>
    <row r="1261" customFormat="false" ht="15" hidden="false" customHeight="false" outlineLevel="0" collapsed="false">
      <c r="A1261" s="0" t="n">
        <v>16.308</v>
      </c>
      <c r="B1261" s="0" t="n">
        <v>34.297</v>
      </c>
      <c r="C1261" s="0" t="n">
        <v>20.047</v>
      </c>
      <c r="D1261" s="0" t="n">
        <v>16.917</v>
      </c>
      <c r="E1261" s="0" t="n">
        <v>26.965</v>
      </c>
      <c r="F1261" s="0" t="n">
        <v>0.1518</v>
      </c>
      <c r="G1261" s="12" t="n">
        <f aca="false">(A1261+(C1261*D1261*COS(RADIANS(E1261))^2-F1261*C1261*D1261)*TAN(RADIANS(B1261)))/(C1261*D1261*SIN(RADIANS(E1261))*COS(RADIANS(E1261)))</f>
        <v>1.20346809688104</v>
      </c>
    </row>
    <row r="1262" customFormat="false" ht="15" hidden="false" customHeight="false" outlineLevel="0" collapsed="false">
      <c r="A1262" s="0" t="n">
        <v>11.83</v>
      </c>
      <c r="B1262" s="0" t="n">
        <v>28.726</v>
      </c>
      <c r="C1262" s="0" t="n">
        <v>20.023</v>
      </c>
      <c r="D1262" s="0" t="n">
        <v>18.366</v>
      </c>
      <c r="E1262" s="0" t="n">
        <v>26.208</v>
      </c>
      <c r="F1262" s="0" t="n">
        <v>0.224</v>
      </c>
      <c r="G1262" s="12" t="n">
        <f aca="false">(A1262+(C1262*D1262*COS(RADIANS(E1262))^2-F1262*C1262*D1262)*TAN(RADIANS(B1262)))/(C1262*D1262*SIN(RADIANS(E1262))*COS(RADIANS(E1262)))</f>
        <v>0.884787547528184</v>
      </c>
    </row>
    <row r="1263" customFormat="false" ht="15" hidden="false" customHeight="false" outlineLevel="0" collapsed="false">
      <c r="A1263" s="0" t="n">
        <v>15.106</v>
      </c>
      <c r="B1263" s="0" t="n">
        <v>37.863</v>
      </c>
      <c r="C1263" s="0" t="n">
        <v>19.942</v>
      </c>
      <c r="D1263" s="0" t="n">
        <v>15.116</v>
      </c>
      <c r="E1263" s="0" t="n">
        <v>26.317</v>
      </c>
      <c r="F1263" s="0" t="n">
        <v>0.0964</v>
      </c>
      <c r="G1263" s="12" t="n">
        <f aca="false">(A1263+(C1263*D1263*COS(RADIANS(E1263))^2-F1263*C1263*D1263)*TAN(RADIANS(B1263)))/(C1263*D1263*SIN(RADIANS(E1263))*COS(RADIANS(E1263)))</f>
        <v>1.5093692489895</v>
      </c>
    </row>
    <row r="1264" customFormat="false" ht="15" hidden="false" customHeight="false" outlineLevel="0" collapsed="false">
      <c r="A1264" s="0" t="n">
        <v>17.282</v>
      </c>
      <c r="B1264" s="0" t="n">
        <v>43.542</v>
      </c>
      <c r="C1264" s="0" t="n">
        <v>21.596</v>
      </c>
      <c r="D1264" s="0" t="n">
        <v>11.746</v>
      </c>
      <c r="E1264" s="0" t="n">
        <v>27.463</v>
      </c>
      <c r="F1264" s="0" t="n">
        <v>0</v>
      </c>
      <c r="G1264" s="12" t="n">
        <f aca="false">(A1264+(C1264*D1264*COS(RADIANS(E1264))^2-F1264*C1264*D1264)*TAN(RADIANS(B1264)))/(C1264*D1264*SIN(RADIANS(E1264))*COS(RADIANS(E1264)))</f>
        <v>1.99499458165682</v>
      </c>
    </row>
    <row r="1265" customFormat="false" ht="15" hidden="false" customHeight="false" outlineLevel="0" collapsed="false">
      <c r="A1265" s="0" t="n">
        <v>17.473</v>
      </c>
      <c r="B1265" s="0" t="n">
        <v>33.942</v>
      </c>
      <c r="C1265" s="0" t="n">
        <v>19.919</v>
      </c>
      <c r="D1265" s="0" t="n">
        <v>16.335</v>
      </c>
      <c r="E1265" s="0" t="n">
        <v>33.034</v>
      </c>
      <c r="F1265" s="0" t="n">
        <v>0.0858</v>
      </c>
      <c r="G1265" s="12" t="n">
        <f aca="false">(A1265+(C1265*D1265*COS(RADIANS(E1265))^2-F1265*C1265*D1265)*TAN(RADIANS(B1265)))/(C1265*D1265*SIN(RADIANS(E1265))*COS(RADIANS(E1265)))</f>
        <v>1.02618785906803</v>
      </c>
    </row>
    <row r="1266" customFormat="false" ht="15" hidden="false" customHeight="false" outlineLevel="0" collapsed="false">
      <c r="A1266" s="0" t="n">
        <v>21.208</v>
      </c>
      <c r="B1266" s="0" t="n">
        <v>33.866</v>
      </c>
      <c r="C1266" s="0" t="n">
        <v>19.148</v>
      </c>
      <c r="D1266" s="0" t="n">
        <v>16.541</v>
      </c>
      <c r="E1266" s="0" t="n">
        <v>28.906</v>
      </c>
      <c r="F1266" s="0" t="n">
        <v>0</v>
      </c>
      <c r="G1266" s="12" t="n">
        <f aca="false">(A1266+(C1266*D1266*COS(RADIANS(E1266))^2-F1266*C1266*D1266)*TAN(RADIANS(B1266)))/(C1266*D1266*SIN(RADIANS(E1266))*COS(RADIANS(E1266)))</f>
        <v>1.37365533987706</v>
      </c>
    </row>
    <row r="1267" customFormat="false" ht="15" hidden="false" customHeight="false" outlineLevel="0" collapsed="false">
      <c r="A1267" s="0" t="n">
        <v>20.108</v>
      </c>
      <c r="B1267" s="0" t="n">
        <v>34.754</v>
      </c>
      <c r="C1267" s="0" t="n">
        <v>20.027</v>
      </c>
      <c r="D1267" s="0" t="n">
        <v>16.921</v>
      </c>
      <c r="E1267" s="0" t="n">
        <v>27.659</v>
      </c>
      <c r="F1267" s="0" t="n">
        <v>0.2475</v>
      </c>
      <c r="G1267" s="12" t="n">
        <f aca="false">(A1267+(C1267*D1267*COS(RADIANS(E1267))^2-F1267*C1267*D1267)*TAN(RADIANS(B1267)))/(C1267*D1267*SIN(RADIANS(E1267))*COS(RADIANS(E1267)))</f>
        <v>1.05051255213941</v>
      </c>
    </row>
    <row r="1268" customFormat="false" ht="15" hidden="false" customHeight="false" outlineLevel="0" collapsed="false">
      <c r="A1268" s="0" t="n">
        <v>10.995</v>
      </c>
      <c r="B1268" s="0" t="n">
        <v>35.715</v>
      </c>
      <c r="C1268" s="0" t="n">
        <v>19.132</v>
      </c>
      <c r="D1268" s="0" t="n">
        <v>17.119</v>
      </c>
      <c r="E1268" s="0" t="n">
        <v>27.007</v>
      </c>
      <c r="F1268" s="0" t="n">
        <v>0.0894</v>
      </c>
      <c r="G1268" s="12" t="n">
        <f aca="false">(A1268+(C1268*D1268*COS(RADIANS(E1268))^2-F1268*C1268*D1268)*TAN(RADIANS(B1268)))/(C1268*D1268*SIN(RADIANS(E1268))*COS(RADIANS(E1268)))</f>
        <v>1.33473715611623</v>
      </c>
    </row>
    <row r="1269" customFormat="false" ht="15" hidden="false" customHeight="false" outlineLevel="0" collapsed="false">
      <c r="A1269" s="0" t="n">
        <v>21.734</v>
      </c>
      <c r="B1269" s="0" t="n">
        <v>35.844</v>
      </c>
      <c r="C1269" s="0" t="n">
        <v>20.698</v>
      </c>
      <c r="D1269" s="0" t="n">
        <v>13.62</v>
      </c>
      <c r="E1269" s="0" t="n">
        <v>27.264</v>
      </c>
      <c r="F1269" s="0" t="n">
        <v>0.1313</v>
      </c>
      <c r="G1269" s="12" t="n">
        <f aca="false">(A1269+(C1269*D1269*COS(RADIANS(E1269))^2-F1269*C1269*D1269)*TAN(RADIANS(B1269)))/(C1269*D1269*SIN(RADIANS(E1269))*COS(RADIANS(E1269)))</f>
        <v>1.35816784228475</v>
      </c>
    </row>
    <row r="1270" customFormat="false" ht="15" hidden="false" customHeight="false" outlineLevel="0" collapsed="false">
      <c r="A1270" s="0" t="n">
        <v>12.876</v>
      </c>
      <c r="B1270" s="0" t="n">
        <v>35.836</v>
      </c>
      <c r="C1270" s="0" t="n">
        <v>19.087</v>
      </c>
      <c r="D1270" s="0" t="n">
        <v>21.602</v>
      </c>
      <c r="E1270" s="0" t="n">
        <v>29.474</v>
      </c>
      <c r="F1270" s="0" t="n">
        <v>0.1971</v>
      </c>
      <c r="G1270" s="12" t="n">
        <f aca="false">(A1270+(C1270*D1270*COS(RADIANS(E1270))^2-F1270*C1270*D1270)*TAN(RADIANS(B1270)))/(C1270*D1270*SIN(RADIANS(E1270))*COS(RADIANS(E1270)))</f>
        <v>1.01840067690795</v>
      </c>
    </row>
    <row r="1271" customFormat="false" ht="15" hidden="false" customHeight="false" outlineLevel="0" collapsed="false">
      <c r="A1271" s="0" t="n">
        <v>19.179</v>
      </c>
      <c r="B1271" s="0" t="n">
        <v>30.827</v>
      </c>
      <c r="C1271" s="0" t="n">
        <v>21.95</v>
      </c>
      <c r="D1271" s="0" t="n">
        <v>16.653</v>
      </c>
      <c r="E1271" s="0" t="n">
        <v>30.24</v>
      </c>
      <c r="F1271" s="0" t="n">
        <v>0.1295</v>
      </c>
      <c r="G1271" s="12" t="n">
        <f aca="false">(A1271+(C1271*D1271*COS(RADIANS(E1271))^2-F1271*C1271*D1271)*TAN(RADIANS(B1271)))/(C1271*D1271*SIN(RADIANS(E1271))*COS(RADIANS(E1271)))</f>
        <v>0.966662924270661</v>
      </c>
    </row>
    <row r="1272" customFormat="false" ht="15" hidden="false" customHeight="false" outlineLevel="0" collapsed="false">
      <c r="A1272" s="0" t="n">
        <v>15.272</v>
      </c>
      <c r="B1272" s="0" t="n">
        <v>34.834</v>
      </c>
      <c r="C1272" s="0" t="n">
        <v>20.911</v>
      </c>
      <c r="D1272" s="0" t="n">
        <v>15.989</v>
      </c>
      <c r="E1272" s="0" t="n">
        <v>30.927</v>
      </c>
      <c r="F1272" s="0" t="n">
        <v>0.1527</v>
      </c>
      <c r="G1272" s="12" t="n">
        <f aca="false">(A1272+(C1272*D1272*COS(RADIANS(E1272))^2-F1272*C1272*D1272)*TAN(RADIANS(B1272)))/(C1272*D1272*SIN(RADIANS(E1272))*COS(RADIANS(E1272)))</f>
        <v>1.02409573434453</v>
      </c>
    </row>
    <row r="1273" customFormat="false" ht="15" hidden="false" customHeight="false" outlineLevel="0" collapsed="false">
      <c r="A1273" s="0" t="n">
        <v>13.351</v>
      </c>
      <c r="B1273" s="0" t="n">
        <v>36.92</v>
      </c>
      <c r="C1273" s="0" t="n">
        <v>18.815</v>
      </c>
      <c r="D1273" s="0" t="n">
        <v>15.871</v>
      </c>
      <c r="E1273" s="0" t="n">
        <v>27.784</v>
      </c>
      <c r="F1273" s="0" t="n">
        <v>0.165</v>
      </c>
      <c r="G1273" s="12" t="n">
        <f aca="false">(A1273+(C1273*D1273*COS(RADIANS(E1273))^2-F1273*C1273*D1273)*TAN(RADIANS(B1273)))/(C1273*D1273*SIN(RADIANS(E1273))*COS(RADIANS(E1273)))</f>
        <v>1.23385392752885</v>
      </c>
    </row>
    <row r="1274" customFormat="false" ht="15" hidden="false" customHeight="false" outlineLevel="0" collapsed="false">
      <c r="A1274" s="0" t="n">
        <v>7.769</v>
      </c>
      <c r="B1274" s="0" t="n">
        <v>31.42</v>
      </c>
      <c r="C1274" s="0" t="n">
        <v>20.031</v>
      </c>
      <c r="D1274" s="0" t="n">
        <v>9.745</v>
      </c>
      <c r="E1274" s="0" t="n">
        <v>29.755</v>
      </c>
      <c r="F1274" s="0" t="n">
        <v>0.166</v>
      </c>
      <c r="G1274" s="12" t="n">
        <f aca="false">(A1274+(C1274*D1274*COS(RADIANS(E1274))^2-F1274*C1274*D1274)*TAN(RADIANS(B1274)))/(C1274*D1274*SIN(RADIANS(E1274))*COS(RADIANS(E1274)))</f>
        <v>0.925619478903634</v>
      </c>
    </row>
    <row r="1275" customFormat="false" ht="15" hidden="false" customHeight="false" outlineLevel="0" collapsed="false">
      <c r="A1275" s="0" t="n">
        <v>14.314</v>
      </c>
      <c r="B1275" s="0" t="n">
        <v>30.917</v>
      </c>
      <c r="C1275" s="0" t="n">
        <v>18.648</v>
      </c>
      <c r="D1275" s="0" t="n">
        <v>9.688</v>
      </c>
      <c r="E1275" s="0" t="n">
        <v>27.401</v>
      </c>
      <c r="F1275" s="0" t="n">
        <v>0.0933</v>
      </c>
      <c r="G1275" s="12" t="n">
        <f aca="false">(A1275+(C1275*D1275*COS(RADIANS(E1275))^2-F1275*C1275*D1275)*TAN(RADIANS(B1275)))/(C1275*D1275*SIN(RADIANS(E1275))*COS(RADIANS(E1275)))</f>
        <v>1.21248752114203</v>
      </c>
    </row>
    <row r="1276" customFormat="false" ht="15" hidden="false" customHeight="false" outlineLevel="0" collapsed="false">
      <c r="A1276" s="0" t="n">
        <v>8.762</v>
      </c>
      <c r="B1276" s="0" t="n">
        <v>33.33</v>
      </c>
      <c r="C1276" s="0" t="n">
        <v>19.658</v>
      </c>
      <c r="D1276" s="0" t="n">
        <v>12.001</v>
      </c>
      <c r="E1276" s="0" t="n">
        <v>29.301</v>
      </c>
      <c r="F1276" s="0" t="n">
        <v>0.1329</v>
      </c>
      <c r="G1276" s="12" t="n">
        <f aca="false">(A1276+(C1276*D1276*COS(RADIANS(E1276))^2-F1276*C1276*D1276)*TAN(RADIANS(B1276)))/(C1276*D1276*SIN(RADIANS(E1276))*COS(RADIANS(E1276)))</f>
        <v>1.05406939444684</v>
      </c>
    </row>
    <row r="1277" customFormat="false" ht="15" hidden="false" customHeight="false" outlineLevel="0" collapsed="false">
      <c r="A1277" s="0" t="n">
        <v>18.869</v>
      </c>
      <c r="B1277" s="0" t="n">
        <v>35.52</v>
      </c>
      <c r="C1277" s="0" t="n">
        <v>21.461</v>
      </c>
      <c r="D1277" s="0" t="n">
        <v>13.329</v>
      </c>
      <c r="E1277" s="0" t="n">
        <v>27.539</v>
      </c>
      <c r="F1277" s="0" t="n">
        <v>0.174</v>
      </c>
      <c r="G1277" s="12" t="n">
        <f aca="false">(A1277+(C1277*D1277*COS(RADIANS(E1277))^2-F1277*C1277*D1277)*TAN(RADIANS(B1277)))/(C1277*D1277*SIN(RADIANS(E1277))*COS(RADIANS(E1277)))</f>
        <v>1.22689508602019</v>
      </c>
    </row>
    <row r="1278" customFormat="false" ht="15" hidden="false" customHeight="false" outlineLevel="0" collapsed="false">
      <c r="A1278" s="0" t="n">
        <v>21.067</v>
      </c>
      <c r="B1278" s="0" t="n">
        <v>36.866</v>
      </c>
      <c r="C1278" s="0" t="n">
        <v>18.481</v>
      </c>
      <c r="D1278" s="0" t="n">
        <v>15.294</v>
      </c>
      <c r="E1278" s="0" t="n">
        <v>32.127</v>
      </c>
      <c r="F1278" s="0" t="n">
        <v>0.0931</v>
      </c>
      <c r="G1278" s="12" t="n">
        <f aca="false">(A1278+(C1278*D1278*COS(RADIANS(E1278))^2-F1278*C1278*D1278)*TAN(RADIANS(B1278)))/(C1278*D1278*SIN(RADIANS(E1278))*COS(RADIANS(E1278)))</f>
        <v>1.20466114289134</v>
      </c>
    </row>
    <row r="1279" customFormat="false" ht="15" hidden="false" customHeight="false" outlineLevel="0" collapsed="false">
      <c r="A1279" s="0" t="n">
        <v>11.812</v>
      </c>
      <c r="B1279" s="0" t="n">
        <v>37.342</v>
      </c>
      <c r="C1279" s="0" t="n">
        <v>18.818</v>
      </c>
      <c r="D1279" s="0" t="n">
        <v>15.16</v>
      </c>
      <c r="E1279" s="0" t="n">
        <v>30.129</v>
      </c>
      <c r="F1279" s="0" t="n">
        <v>0.1332</v>
      </c>
      <c r="G1279" s="12" t="n">
        <f aca="false">(A1279+(C1279*D1279*COS(RADIANS(E1279))^2-F1279*C1279*D1279)*TAN(RADIANS(B1279)))/(C1279*D1279*SIN(RADIANS(E1279))*COS(RADIANS(E1279)))</f>
        <v>1.17591757615772</v>
      </c>
    </row>
    <row r="1280" customFormat="false" ht="15" hidden="false" customHeight="false" outlineLevel="0" collapsed="false">
      <c r="A1280" s="0" t="n">
        <v>16.208</v>
      </c>
      <c r="B1280" s="0" t="n">
        <v>32.407</v>
      </c>
      <c r="C1280" s="0" t="n">
        <v>19.675</v>
      </c>
      <c r="D1280" s="0" t="n">
        <v>13.727</v>
      </c>
      <c r="E1280" s="0" t="n">
        <v>25.889</v>
      </c>
      <c r="F1280" s="0" t="n">
        <v>0.0619</v>
      </c>
      <c r="G1280" s="12" t="n">
        <f aca="false">(A1280+(C1280*D1280*COS(RADIANS(E1280))^2-F1280*C1280*D1280)*TAN(RADIANS(B1280)))/(C1280*D1280*SIN(RADIANS(E1280))*COS(RADIANS(E1280)))</f>
        <v>1.36068342372351</v>
      </c>
    </row>
    <row r="1281" customFormat="false" ht="15" hidden="false" customHeight="false" outlineLevel="0" collapsed="false">
      <c r="A1281" s="0" t="n">
        <v>12.098</v>
      </c>
      <c r="B1281" s="0" t="n">
        <v>29.357</v>
      </c>
      <c r="C1281" s="0" t="n">
        <v>19.999</v>
      </c>
      <c r="D1281" s="0" t="n">
        <v>12.72</v>
      </c>
      <c r="E1281" s="0" t="n">
        <v>23.892</v>
      </c>
      <c r="F1281" s="0" t="n">
        <v>0.2543</v>
      </c>
      <c r="G1281" s="12" t="n">
        <f aca="false">(A1281+(C1281*D1281*COS(RADIANS(E1281))^2-F1281*C1281*D1281)*TAN(RADIANS(B1281)))/(C1281*D1281*SIN(RADIANS(E1281))*COS(RADIANS(E1281)))</f>
        <v>1.01194864896883</v>
      </c>
    </row>
    <row r="1282" customFormat="false" ht="15" hidden="false" customHeight="false" outlineLevel="0" collapsed="false">
      <c r="A1282" s="0" t="n">
        <v>12.486</v>
      </c>
      <c r="B1282" s="0" t="n">
        <v>39.715</v>
      </c>
      <c r="C1282" s="0" t="n">
        <v>19.873</v>
      </c>
      <c r="D1282" s="0" t="n">
        <v>9.335</v>
      </c>
      <c r="E1282" s="0" t="n">
        <v>28.905</v>
      </c>
      <c r="F1282" s="0" t="n">
        <v>0.1914</v>
      </c>
      <c r="G1282" s="12" t="n">
        <f aca="false">(A1282+(C1282*D1282*COS(RADIANS(E1282))^2-F1282*C1282*D1282)*TAN(RADIANS(B1282)))/(C1282*D1282*SIN(RADIANS(E1282))*COS(RADIANS(E1282)))</f>
        <v>1.28775262357002</v>
      </c>
    </row>
    <row r="1283" customFormat="false" ht="15" hidden="false" customHeight="false" outlineLevel="0" collapsed="false">
      <c r="A1283" s="0" t="n">
        <v>18.098</v>
      </c>
      <c r="B1283" s="0" t="n">
        <v>38.712</v>
      </c>
      <c r="C1283" s="0" t="n">
        <v>18.725</v>
      </c>
      <c r="D1283" s="0" t="n">
        <v>20.554</v>
      </c>
      <c r="E1283" s="0" t="n">
        <v>27.696</v>
      </c>
      <c r="F1283" s="0" t="n">
        <v>0.2446</v>
      </c>
      <c r="G1283" s="12" t="n">
        <f aca="false">(A1283+(C1283*D1283*COS(RADIANS(E1283))^2-F1283*C1283*D1283)*TAN(RADIANS(B1283)))/(C1283*D1283*SIN(RADIANS(E1283))*COS(RADIANS(E1283)))</f>
        <v>1.16476263202285</v>
      </c>
    </row>
    <row r="1284" customFormat="false" ht="15" hidden="false" customHeight="false" outlineLevel="0" collapsed="false">
      <c r="A1284" s="0" t="n">
        <v>14.846</v>
      </c>
      <c r="B1284" s="0" t="n">
        <v>33.661</v>
      </c>
      <c r="C1284" s="0" t="n">
        <v>17.547</v>
      </c>
      <c r="D1284" s="0" t="n">
        <v>18.519</v>
      </c>
      <c r="E1284" s="0" t="n">
        <v>27.07</v>
      </c>
      <c r="F1284" s="0" t="n">
        <v>0.0055</v>
      </c>
      <c r="G1284" s="12" t="n">
        <f aca="false">(A1284+(C1284*D1284*COS(RADIANS(E1284))^2-F1284*C1284*D1284)*TAN(RADIANS(B1284)))/(C1284*D1284*SIN(RADIANS(E1284))*COS(RADIANS(E1284)))</f>
        <v>1.40673651534673</v>
      </c>
    </row>
    <row r="1285" customFormat="false" ht="15" hidden="false" customHeight="false" outlineLevel="0" collapsed="false">
      <c r="A1285" s="0" t="n">
        <v>21.959</v>
      </c>
      <c r="B1285" s="0" t="n">
        <v>37.291</v>
      </c>
      <c r="C1285" s="0" t="n">
        <v>21.088</v>
      </c>
      <c r="D1285" s="0" t="n">
        <v>14.057</v>
      </c>
      <c r="E1285" s="0" t="n">
        <v>27.812</v>
      </c>
      <c r="F1285" s="0" t="n">
        <v>0.1599</v>
      </c>
      <c r="G1285" s="12" t="n">
        <f aca="false">(A1285+(C1285*D1285*COS(RADIANS(E1285))^2-F1285*C1285*D1285)*TAN(RADIANS(B1285)))/(C1285*D1285*SIN(RADIANS(E1285))*COS(RADIANS(E1285)))</f>
        <v>1.32809721636578</v>
      </c>
    </row>
    <row r="1286" customFormat="false" ht="15" hidden="false" customHeight="false" outlineLevel="0" collapsed="false">
      <c r="A1286" s="0" t="n">
        <v>13.071</v>
      </c>
      <c r="B1286" s="0" t="n">
        <v>35.846</v>
      </c>
      <c r="C1286" s="0" t="n">
        <v>20.211</v>
      </c>
      <c r="D1286" s="0" t="n">
        <v>17.609</v>
      </c>
      <c r="E1286" s="0" t="n">
        <v>26.158</v>
      </c>
      <c r="F1286" s="0" t="n">
        <v>0.2574</v>
      </c>
      <c r="G1286" s="12" t="n">
        <f aca="false">(A1286+(C1286*D1286*COS(RADIANS(E1286))^2-F1286*C1286*D1286)*TAN(RADIANS(B1286)))/(C1286*D1286*SIN(RADIANS(E1286))*COS(RADIANS(E1286)))</f>
        <v>1.09378891657503</v>
      </c>
    </row>
    <row r="1287" customFormat="false" ht="15" hidden="false" customHeight="false" outlineLevel="0" collapsed="false">
      <c r="A1287" s="0" t="n">
        <v>18.997</v>
      </c>
      <c r="B1287" s="0" t="n">
        <v>34.46</v>
      </c>
      <c r="C1287" s="0" t="n">
        <v>18.677</v>
      </c>
      <c r="D1287" s="0" t="n">
        <v>14.547</v>
      </c>
      <c r="E1287" s="0" t="n">
        <v>32.997</v>
      </c>
      <c r="F1287" s="0" t="n">
        <v>0.1005</v>
      </c>
      <c r="G1287" s="12" t="n">
        <f aca="false">(A1287+(C1287*D1287*COS(RADIANS(E1287))^2-F1287*C1287*D1287)*TAN(RADIANS(B1287)))/(C1287*D1287*SIN(RADIANS(E1287))*COS(RADIANS(E1287)))</f>
        <v>1.05894324973624</v>
      </c>
    </row>
    <row r="1288" customFormat="false" ht="15" hidden="false" customHeight="false" outlineLevel="0" collapsed="false">
      <c r="A1288" s="0" t="n">
        <v>15.39</v>
      </c>
      <c r="B1288" s="0" t="n">
        <v>40.398</v>
      </c>
      <c r="C1288" s="0" t="n">
        <v>19.734</v>
      </c>
      <c r="D1288" s="0" t="n">
        <v>12.688</v>
      </c>
      <c r="E1288" s="0" t="n">
        <v>26.96</v>
      </c>
      <c r="F1288" s="0" t="n">
        <v>0.0264</v>
      </c>
      <c r="G1288" s="12" t="n">
        <f aca="false">(A1288+(C1288*D1288*COS(RADIANS(E1288))^2-F1288*C1288*D1288)*TAN(RADIANS(B1288)))/(C1288*D1288*SIN(RADIANS(E1288))*COS(RADIANS(E1288)))</f>
        <v>1.76958910811354</v>
      </c>
    </row>
    <row r="1289" customFormat="false" ht="15" hidden="false" customHeight="false" outlineLevel="0" collapsed="false">
      <c r="A1289" s="0" t="n">
        <v>18.183</v>
      </c>
      <c r="B1289" s="0" t="n">
        <v>33.046</v>
      </c>
      <c r="C1289" s="0" t="n">
        <v>19.556</v>
      </c>
      <c r="D1289" s="0" t="n">
        <v>12.892</v>
      </c>
      <c r="E1289" s="0" t="n">
        <v>31.912</v>
      </c>
      <c r="F1289" s="0" t="n">
        <v>0.2403</v>
      </c>
      <c r="G1289" s="12" t="n">
        <f aca="false">(A1289+(C1289*D1289*COS(RADIANS(E1289))^2-F1289*C1289*D1289)*TAN(RADIANS(B1289)))/(C1289*D1289*SIN(RADIANS(E1289))*COS(RADIANS(E1289)))</f>
        <v>0.857007489574243</v>
      </c>
    </row>
    <row r="1290" customFormat="false" ht="15" hidden="false" customHeight="false" outlineLevel="0" collapsed="false">
      <c r="A1290" s="0" t="n">
        <v>13.211</v>
      </c>
      <c r="B1290" s="0" t="n">
        <v>30.787</v>
      </c>
      <c r="C1290" s="0" t="n">
        <v>18.669</v>
      </c>
      <c r="D1290" s="0" t="n">
        <v>14.788</v>
      </c>
      <c r="E1290" s="0" t="n">
        <v>31.806</v>
      </c>
      <c r="F1290" s="0" t="n">
        <v>0.1947</v>
      </c>
      <c r="G1290" s="12" t="n">
        <f aca="false">(A1290+(C1290*D1290*COS(RADIANS(E1290))^2-F1290*C1290*D1290)*TAN(RADIANS(B1290)))/(C1290*D1290*SIN(RADIANS(E1290))*COS(RADIANS(E1290)))</f>
        <v>0.808563702033835</v>
      </c>
    </row>
    <row r="1291" customFormat="false" ht="15" hidden="false" customHeight="false" outlineLevel="0" collapsed="false">
      <c r="A1291" s="0" t="n">
        <v>14.802</v>
      </c>
      <c r="B1291" s="0" t="n">
        <v>35.445</v>
      </c>
      <c r="C1291" s="0" t="n">
        <v>19.272</v>
      </c>
      <c r="D1291" s="0" t="n">
        <v>16.688</v>
      </c>
      <c r="E1291" s="0" t="n">
        <v>28.851</v>
      </c>
      <c r="F1291" s="0" t="n">
        <v>0.2835</v>
      </c>
      <c r="G1291" s="12" t="n">
        <f aca="false">(A1291+(C1291*D1291*COS(RADIANS(E1291))^2-F1291*C1291*D1291)*TAN(RADIANS(B1291)))/(C1291*D1291*SIN(RADIANS(E1291))*COS(RADIANS(E1291)))</f>
        <v>0.923520296665931</v>
      </c>
    </row>
    <row r="1292" customFormat="false" ht="15" hidden="false" customHeight="false" outlineLevel="0" collapsed="false">
      <c r="A1292" s="0" t="n">
        <v>14.538</v>
      </c>
      <c r="B1292" s="0" t="n">
        <v>33.257</v>
      </c>
      <c r="C1292" s="0" t="n">
        <v>18.234</v>
      </c>
      <c r="D1292" s="0" t="n">
        <v>11.792</v>
      </c>
      <c r="E1292" s="0" t="n">
        <v>27.866</v>
      </c>
      <c r="F1292" s="0" t="n">
        <v>0.269</v>
      </c>
      <c r="G1292" s="12" t="n">
        <f aca="false">(A1292+(C1292*D1292*COS(RADIANS(E1292))^2-F1292*C1292*D1292)*TAN(RADIANS(B1292)))/(C1292*D1292*SIN(RADIANS(E1292))*COS(RADIANS(E1292)))</f>
        <v>0.977076278333931</v>
      </c>
    </row>
    <row r="1293" customFormat="false" ht="15" hidden="false" customHeight="false" outlineLevel="0" collapsed="false">
      <c r="A1293" s="0" t="n">
        <v>11.656</v>
      </c>
      <c r="B1293" s="0" t="n">
        <v>35.531</v>
      </c>
      <c r="C1293" s="0" t="n">
        <v>19.51</v>
      </c>
      <c r="D1293" s="0" t="n">
        <v>19.342</v>
      </c>
      <c r="E1293" s="0" t="n">
        <v>27.479</v>
      </c>
      <c r="F1293" s="0" t="n">
        <v>0.3218</v>
      </c>
      <c r="G1293" s="12" t="n">
        <f aca="false">(A1293+(C1293*D1293*COS(RADIANS(E1293))^2-F1293*C1293*D1293)*TAN(RADIANS(B1293)))/(C1293*D1293*SIN(RADIANS(E1293))*COS(RADIANS(E1293)))</f>
        <v>0.887116436801994</v>
      </c>
    </row>
    <row r="1294" customFormat="false" ht="15" hidden="false" customHeight="false" outlineLevel="0" collapsed="false">
      <c r="A1294" s="0" t="n">
        <v>17.648</v>
      </c>
      <c r="B1294" s="0" t="n">
        <v>34.12</v>
      </c>
      <c r="C1294" s="0" t="n">
        <v>19.789</v>
      </c>
      <c r="D1294" s="0" t="n">
        <v>16.426</v>
      </c>
      <c r="E1294" s="0" t="n">
        <v>30.237</v>
      </c>
      <c r="F1294" s="0" t="n">
        <v>0.1066</v>
      </c>
      <c r="G1294" s="12" t="n">
        <f aca="false">(A1294+(C1294*D1294*COS(RADIANS(E1294))^2-F1294*C1294*D1294)*TAN(RADIANS(B1294)))/(C1294*D1294*SIN(RADIANS(E1294))*COS(RADIANS(E1294)))</f>
        <v>1.12121291686246</v>
      </c>
    </row>
    <row r="1295" customFormat="false" ht="15" hidden="false" customHeight="false" outlineLevel="0" collapsed="false">
      <c r="A1295" s="0" t="n">
        <v>17.601</v>
      </c>
      <c r="B1295" s="0" t="n">
        <v>32.881</v>
      </c>
      <c r="C1295" s="0" t="n">
        <v>17.822</v>
      </c>
      <c r="D1295" s="0" t="n">
        <v>5</v>
      </c>
      <c r="E1295" s="0" t="n">
        <v>28.606</v>
      </c>
      <c r="F1295" s="0" t="n">
        <v>0.1612</v>
      </c>
      <c r="G1295" s="12" t="n">
        <f aca="false">(A1295+(C1295*D1295*COS(RADIANS(E1295))^2-F1295*C1295*D1295)*TAN(RADIANS(B1295)))/(C1295*D1295*SIN(RADIANS(E1295))*COS(RADIANS(E1295)))</f>
        <v>1.40738257819289</v>
      </c>
    </row>
    <row r="1296" customFormat="false" ht="15" hidden="false" customHeight="false" outlineLevel="0" collapsed="false">
      <c r="A1296" s="0" t="n">
        <v>17.374</v>
      </c>
      <c r="B1296" s="0" t="n">
        <v>34.343</v>
      </c>
      <c r="C1296" s="0" t="n">
        <v>19.499</v>
      </c>
      <c r="D1296" s="0" t="n">
        <v>9.835</v>
      </c>
      <c r="E1296" s="0" t="n">
        <v>25.539</v>
      </c>
      <c r="F1296" s="0" t="n">
        <v>0.091</v>
      </c>
      <c r="G1296" s="12" t="n">
        <f aca="false">(A1296+(C1296*D1296*COS(RADIANS(E1296))^2-F1296*C1296*D1296)*TAN(RADIANS(B1296)))/(C1296*D1296*SIN(RADIANS(E1296))*COS(RADIANS(E1296)))</f>
        <v>1.50302696286447</v>
      </c>
    </row>
    <row r="1297" customFormat="false" ht="15" hidden="false" customHeight="false" outlineLevel="0" collapsed="false">
      <c r="A1297" s="0" t="n">
        <v>21.148</v>
      </c>
      <c r="B1297" s="0" t="n">
        <v>30.423</v>
      </c>
      <c r="C1297" s="0" t="n">
        <v>19.775</v>
      </c>
      <c r="D1297" s="0" t="n">
        <v>10.329</v>
      </c>
      <c r="E1297" s="0" t="n">
        <v>29.455</v>
      </c>
      <c r="F1297" s="0" t="n">
        <v>0.07</v>
      </c>
      <c r="G1297" s="12" t="n">
        <f aca="false">(A1297+(C1297*D1297*COS(RADIANS(E1297))^2-F1297*C1297*D1297)*TAN(RADIANS(B1297)))/(C1297*D1297*SIN(RADIANS(E1297))*COS(RADIANS(E1297)))</f>
        <v>1.18564539469862</v>
      </c>
    </row>
    <row r="1298" customFormat="false" ht="15" hidden="false" customHeight="false" outlineLevel="0" collapsed="false">
      <c r="A1298" s="0" t="n">
        <v>20.797</v>
      </c>
      <c r="B1298" s="0" t="n">
        <v>30.4</v>
      </c>
      <c r="C1298" s="0" t="n">
        <v>17.979</v>
      </c>
      <c r="D1298" s="0" t="n">
        <v>17.042</v>
      </c>
      <c r="E1298" s="0" t="n">
        <v>26.575</v>
      </c>
      <c r="F1298" s="0" t="n">
        <v>0.035</v>
      </c>
      <c r="G1298" s="12" t="n">
        <f aca="false">(A1298+(C1298*D1298*COS(RADIANS(E1298))^2-F1298*C1298*D1298)*TAN(RADIANS(B1298)))/(C1298*D1298*SIN(RADIANS(E1298))*COS(RADIANS(E1298)))</f>
        <v>1.2912064403421</v>
      </c>
    </row>
    <row r="1299" customFormat="false" ht="15" hidden="false" customHeight="false" outlineLevel="0" collapsed="false">
      <c r="A1299" s="0" t="n">
        <v>13.5</v>
      </c>
      <c r="B1299" s="0" t="n">
        <v>34.238</v>
      </c>
      <c r="C1299" s="0" t="n">
        <v>21.302</v>
      </c>
      <c r="D1299" s="0" t="n">
        <v>14.354</v>
      </c>
      <c r="E1299" s="0" t="n">
        <v>26.104</v>
      </c>
      <c r="F1299" s="0" t="n">
        <v>0.2528</v>
      </c>
      <c r="G1299" s="12" t="n">
        <f aca="false">(A1299+(C1299*D1299*COS(RADIANS(E1299))^2-F1299*C1299*D1299)*TAN(RADIANS(B1299)))/(C1299*D1299*SIN(RADIANS(E1299))*COS(RADIANS(E1299)))</f>
        <v>1.06527817977812</v>
      </c>
    </row>
    <row r="1300" customFormat="false" ht="15" hidden="false" customHeight="false" outlineLevel="0" collapsed="false">
      <c r="A1300" s="0" t="n">
        <v>16.492</v>
      </c>
      <c r="B1300" s="0" t="n">
        <v>36.176</v>
      </c>
      <c r="C1300" s="0" t="n">
        <v>20.948</v>
      </c>
      <c r="D1300" s="0" t="n">
        <v>12.17</v>
      </c>
      <c r="E1300" s="0" t="n">
        <v>28.392</v>
      </c>
      <c r="F1300" s="0" t="n">
        <v>0.0701</v>
      </c>
      <c r="G1300" s="12" t="n">
        <f aca="false">(A1300+(C1300*D1300*COS(RADIANS(E1300))^2-F1300*C1300*D1300)*TAN(RADIANS(B1300)))/(C1300*D1300*SIN(RADIANS(E1300))*COS(RADIANS(E1300)))</f>
        <v>1.38496911222751</v>
      </c>
    </row>
    <row r="1301" customFormat="false" ht="15" hidden="false" customHeight="false" outlineLevel="0" collapsed="false">
      <c r="A1301" s="0" t="n">
        <v>12.506</v>
      </c>
      <c r="B1301" s="0" t="n">
        <v>29.965</v>
      </c>
      <c r="C1301" s="0" t="n">
        <v>21.068</v>
      </c>
      <c r="D1301" s="0" t="n">
        <v>14.226</v>
      </c>
      <c r="E1301" s="0" t="n">
        <v>28.051</v>
      </c>
      <c r="F1301" s="0" t="n">
        <v>0.2527</v>
      </c>
      <c r="G1301" s="12" t="n">
        <f aca="false">(A1301+(C1301*D1301*COS(RADIANS(E1301))^2-F1301*C1301*D1301)*TAN(RADIANS(B1301)))/(C1301*D1301*SIN(RADIANS(E1301))*COS(RADIANS(E1301)))</f>
        <v>0.831475751725071</v>
      </c>
    </row>
    <row r="1302" customFormat="false" ht="15" hidden="false" customHeight="false" outlineLevel="0" collapsed="false">
      <c r="A1302" s="0" t="n">
        <v>15.093</v>
      </c>
      <c r="B1302" s="0" t="n">
        <v>36.36</v>
      </c>
      <c r="C1302" s="0" t="n">
        <v>18.785</v>
      </c>
      <c r="D1302" s="0" t="n">
        <v>19.42</v>
      </c>
      <c r="E1302" s="0" t="n">
        <v>28.777</v>
      </c>
      <c r="F1302" s="0" t="n">
        <v>0.2588</v>
      </c>
      <c r="G1302" s="12" t="n">
        <f aca="false">(A1302+(C1302*D1302*COS(RADIANS(E1302))^2-F1302*C1302*D1302)*TAN(RADIANS(B1302)))/(C1302*D1302*SIN(RADIANS(E1302))*COS(RADIANS(E1302)))</f>
        <v>0.986908297638081</v>
      </c>
    </row>
    <row r="1303" customFormat="false" ht="15" hidden="false" customHeight="false" outlineLevel="0" collapsed="false">
      <c r="A1303" s="0" t="n">
        <v>12.601</v>
      </c>
      <c r="B1303" s="0" t="n">
        <v>33.546</v>
      </c>
      <c r="C1303" s="0" t="n">
        <v>21.215</v>
      </c>
      <c r="D1303" s="0" t="n">
        <v>16.279</v>
      </c>
      <c r="E1303" s="0" t="n">
        <v>29.449</v>
      </c>
      <c r="F1303" s="0" t="n">
        <v>0.1451</v>
      </c>
      <c r="G1303" s="12" t="n">
        <f aca="false">(A1303+(C1303*D1303*COS(RADIANS(E1303))^2-F1303*C1303*D1303)*TAN(RADIANS(B1303)))/(C1303*D1303*SIN(RADIANS(E1303))*COS(RADIANS(E1303)))</f>
        <v>1.03486494716744</v>
      </c>
    </row>
    <row r="1304" customFormat="false" ht="15" hidden="false" customHeight="false" outlineLevel="0" collapsed="false">
      <c r="A1304" s="0" t="n">
        <v>21.48</v>
      </c>
      <c r="B1304" s="0" t="n">
        <v>36.172</v>
      </c>
      <c r="C1304" s="0" t="n">
        <v>19.397</v>
      </c>
      <c r="D1304" s="0" t="n">
        <v>10.312</v>
      </c>
      <c r="E1304" s="0" t="n">
        <v>28.671</v>
      </c>
      <c r="F1304" s="0" t="n">
        <v>0.0468</v>
      </c>
      <c r="G1304" s="12" t="n">
        <f aca="false">(A1304+(C1304*D1304*COS(RADIANS(E1304))^2-F1304*C1304*D1304)*TAN(RADIANS(B1304)))/(C1304*D1304*SIN(RADIANS(E1304))*COS(RADIANS(E1304)))</f>
        <v>1.5108811829746</v>
      </c>
    </row>
    <row r="1305" customFormat="false" ht="15" hidden="false" customHeight="false" outlineLevel="0" collapsed="false">
      <c r="A1305" s="0" t="n">
        <v>16.455</v>
      </c>
      <c r="B1305" s="0" t="n">
        <v>35.706</v>
      </c>
      <c r="C1305" s="0" t="n">
        <v>21.338</v>
      </c>
      <c r="D1305" s="0" t="n">
        <v>13.523</v>
      </c>
      <c r="E1305" s="0" t="n">
        <v>26.994</v>
      </c>
      <c r="F1305" s="0" t="n">
        <v>0.1353</v>
      </c>
      <c r="G1305" s="12" t="n">
        <f aca="false">(A1305+(C1305*D1305*COS(RADIANS(E1305))^2-F1305*C1305*D1305)*TAN(RADIANS(B1305)))/(C1305*D1305*SIN(RADIANS(E1305))*COS(RADIANS(E1305)))</f>
        <v>1.31151457173444</v>
      </c>
    </row>
    <row r="1306" customFormat="false" ht="15" hidden="false" customHeight="false" outlineLevel="0" collapsed="false">
      <c r="A1306" s="0" t="n">
        <v>14.128</v>
      </c>
      <c r="B1306" s="0" t="n">
        <v>37.928</v>
      </c>
      <c r="C1306" s="0" t="n">
        <v>19.808</v>
      </c>
      <c r="D1306" s="0" t="n">
        <v>20.523</v>
      </c>
      <c r="E1306" s="0" t="n">
        <v>26.792</v>
      </c>
      <c r="F1306" s="0" t="n">
        <v>0.0645</v>
      </c>
      <c r="G1306" s="12" t="n">
        <f aca="false">(A1306+(C1306*D1306*COS(RADIANS(E1306))^2-F1306*C1306*D1306)*TAN(RADIANS(B1306)))/(C1306*D1306*SIN(RADIANS(E1306))*COS(RADIANS(E1306)))</f>
        <v>1.50467108869628</v>
      </c>
    </row>
    <row r="1307" customFormat="false" ht="15" hidden="false" customHeight="false" outlineLevel="0" collapsed="false">
      <c r="A1307" s="0" t="n">
        <v>19.774</v>
      </c>
      <c r="B1307" s="0" t="n">
        <v>34.557</v>
      </c>
      <c r="C1307" s="0" t="n">
        <v>19.153</v>
      </c>
      <c r="D1307" s="0" t="n">
        <v>13.224</v>
      </c>
      <c r="E1307" s="0" t="n">
        <v>30.475</v>
      </c>
      <c r="F1307" s="0" t="n">
        <v>0.0071</v>
      </c>
      <c r="G1307" s="12" t="n">
        <f aca="false">(A1307+(C1307*D1307*COS(RADIANS(E1307))^2-F1307*C1307*D1307)*TAN(RADIANS(B1307)))/(C1307*D1307*SIN(RADIANS(E1307))*COS(RADIANS(E1307)))</f>
        <v>1.33785392884305</v>
      </c>
    </row>
    <row r="1308" customFormat="false" ht="15" hidden="false" customHeight="false" outlineLevel="0" collapsed="false">
      <c r="A1308" s="0" t="n">
        <v>6.318</v>
      </c>
      <c r="B1308" s="0" t="n">
        <v>30.078</v>
      </c>
      <c r="C1308" s="0" t="n">
        <v>19.172</v>
      </c>
      <c r="D1308" s="0" t="n">
        <v>16.028</v>
      </c>
      <c r="E1308" s="0" t="n">
        <v>28.798</v>
      </c>
      <c r="F1308" s="0" t="n">
        <v>0.025</v>
      </c>
      <c r="G1308" s="12" t="n">
        <f aca="false">(A1308+(C1308*D1308*COS(RADIANS(E1308))^2-F1308*C1308*D1308)*TAN(RADIANS(B1308)))/(C1308*D1308*SIN(RADIANS(E1308))*COS(RADIANS(E1308)))</f>
        <v>1.06799336941886</v>
      </c>
    </row>
    <row r="1309" customFormat="false" ht="15" hidden="false" customHeight="false" outlineLevel="0" collapsed="false">
      <c r="A1309" s="0" t="n">
        <v>6.944</v>
      </c>
      <c r="B1309" s="0" t="n">
        <v>41.109</v>
      </c>
      <c r="C1309" s="0" t="n">
        <v>21.258</v>
      </c>
      <c r="D1309" s="0" t="n">
        <v>11.385</v>
      </c>
      <c r="E1309" s="0" t="n">
        <v>31.356</v>
      </c>
      <c r="F1309" s="0" t="n">
        <v>0.1608</v>
      </c>
      <c r="G1309" s="12" t="n">
        <f aca="false">(A1309+(C1309*D1309*COS(RADIANS(E1309))^2-F1309*C1309*D1309)*TAN(RADIANS(B1309)))/(C1309*D1309*SIN(RADIANS(E1309))*COS(RADIANS(E1309)))</f>
        <v>1.18086099325762</v>
      </c>
    </row>
    <row r="1310" customFormat="false" ht="15" hidden="false" customHeight="false" outlineLevel="0" collapsed="false">
      <c r="A1310" s="0" t="n">
        <v>18.183</v>
      </c>
      <c r="B1310" s="0" t="n">
        <v>35.299</v>
      </c>
      <c r="C1310" s="0" t="n">
        <v>20.845</v>
      </c>
      <c r="D1310" s="0" t="n">
        <v>13.545</v>
      </c>
      <c r="E1310" s="0" t="n">
        <v>32.201</v>
      </c>
      <c r="F1310" s="0" t="n">
        <v>0.1856</v>
      </c>
      <c r="G1310" s="12" t="n">
        <f aca="false">(A1310+(C1310*D1310*COS(RADIANS(E1310))^2-F1310*C1310*D1310)*TAN(RADIANS(B1310)))/(C1310*D1310*SIN(RADIANS(E1310))*COS(RADIANS(E1310)))</f>
        <v>0.975662094785522</v>
      </c>
    </row>
    <row r="1311" customFormat="false" ht="15" hidden="false" customHeight="false" outlineLevel="0" collapsed="false">
      <c r="A1311" s="0" t="n">
        <v>15.242</v>
      </c>
      <c r="B1311" s="0" t="n">
        <v>35.456</v>
      </c>
      <c r="C1311" s="0" t="n">
        <v>18.709</v>
      </c>
      <c r="D1311" s="0" t="n">
        <v>11.087</v>
      </c>
      <c r="E1311" s="0" t="n">
        <v>26.592</v>
      </c>
      <c r="F1311" s="0" t="n">
        <v>0.0787</v>
      </c>
      <c r="G1311" s="12" t="n">
        <f aca="false">(A1311+(C1311*D1311*COS(RADIANS(E1311))^2-F1311*C1311*D1311)*TAN(RADIANS(B1311)))/(C1311*D1311*SIN(RADIANS(E1311))*COS(RADIANS(E1311)))</f>
        <v>1.46615708047132</v>
      </c>
    </row>
    <row r="1312" customFormat="false" ht="15" hidden="false" customHeight="false" outlineLevel="0" collapsed="false">
      <c r="A1312" s="0" t="n">
        <v>16.002</v>
      </c>
      <c r="B1312" s="0" t="n">
        <v>34.591</v>
      </c>
      <c r="C1312" s="0" t="n">
        <v>19.773</v>
      </c>
      <c r="D1312" s="0" t="n">
        <v>11.343</v>
      </c>
      <c r="E1312" s="0" t="n">
        <v>24.156</v>
      </c>
      <c r="F1312" s="0" t="n">
        <v>0.2406</v>
      </c>
      <c r="G1312" s="12" t="n">
        <f aca="false">(A1312+(C1312*D1312*COS(RADIANS(E1312))^2-F1312*C1312*D1312)*TAN(RADIANS(B1312)))/(C1312*D1312*SIN(RADIANS(E1312))*COS(RADIANS(E1312)))</f>
        <v>1.2843435724649</v>
      </c>
    </row>
    <row r="1313" customFormat="false" ht="15" hidden="false" customHeight="false" outlineLevel="0" collapsed="false">
      <c r="A1313" s="0" t="n">
        <v>9.694</v>
      </c>
      <c r="B1313" s="0" t="n">
        <v>39.209</v>
      </c>
      <c r="C1313" s="0" t="n">
        <v>18.71</v>
      </c>
      <c r="D1313" s="0" t="n">
        <v>14.905</v>
      </c>
      <c r="E1313" s="0" t="n">
        <v>24.186</v>
      </c>
      <c r="F1313" s="0" t="n">
        <v>0.174</v>
      </c>
      <c r="G1313" s="12" t="n">
        <f aca="false">(A1313+(C1313*D1313*COS(RADIANS(E1313))^2-F1313*C1313*D1313)*TAN(RADIANS(B1313)))/(C1313*D1313*SIN(RADIANS(E1313))*COS(RADIANS(E1313)))</f>
        <v>1.52969741594592</v>
      </c>
    </row>
    <row r="1314" customFormat="false" ht="15" hidden="false" customHeight="false" outlineLevel="0" collapsed="false">
      <c r="A1314" s="0" t="n">
        <v>14.907</v>
      </c>
      <c r="B1314" s="0" t="n">
        <v>31.33</v>
      </c>
      <c r="C1314" s="0" t="n">
        <v>20.4</v>
      </c>
      <c r="D1314" s="0" t="n">
        <v>13.764</v>
      </c>
      <c r="E1314" s="0" t="n">
        <v>28.744</v>
      </c>
      <c r="F1314" s="0" t="n">
        <v>0.1325</v>
      </c>
      <c r="G1314" s="12" t="n">
        <f aca="false">(A1314+(C1314*D1314*COS(RADIANS(E1314))^2-F1314*C1314*D1314)*TAN(RADIANS(B1314)))/(C1314*D1314*SIN(RADIANS(E1314))*COS(RADIANS(E1314)))</f>
        <v>1.04446014514464</v>
      </c>
    </row>
    <row r="1315" customFormat="false" ht="15" hidden="false" customHeight="false" outlineLevel="0" collapsed="false">
      <c r="A1315" s="0" t="n">
        <v>23.014</v>
      </c>
      <c r="B1315" s="0" t="n">
        <v>30.854</v>
      </c>
      <c r="C1315" s="0" t="n">
        <v>18.961</v>
      </c>
      <c r="D1315" s="0" t="n">
        <v>13.213</v>
      </c>
      <c r="E1315" s="0" t="n">
        <v>33.208</v>
      </c>
      <c r="F1315" s="0" t="n">
        <v>0.2237</v>
      </c>
      <c r="G1315" s="12" t="n">
        <f aca="false">(A1315+(C1315*D1315*COS(RADIANS(E1315))^2-F1315*C1315*D1315)*TAN(RADIANS(B1315)))/(C1315*D1315*SIN(RADIANS(E1315))*COS(RADIANS(E1315)))</f>
        <v>0.821471850588778</v>
      </c>
    </row>
    <row r="1316" customFormat="false" ht="15" hidden="false" customHeight="false" outlineLevel="0" collapsed="false">
      <c r="A1316" s="0" t="n">
        <v>18.297</v>
      </c>
      <c r="B1316" s="0" t="n">
        <v>32.904</v>
      </c>
      <c r="C1316" s="0" t="n">
        <v>19.596</v>
      </c>
      <c r="D1316" s="0" t="n">
        <v>17.312</v>
      </c>
      <c r="E1316" s="0" t="n">
        <v>26.892</v>
      </c>
      <c r="F1316" s="0" t="n">
        <v>0.2929</v>
      </c>
      <c r="G1316" s="12" t="n">
        <f aca="false">(A1316+(C1316*D1316*COS(RADIANS(E1316))^2-F1316*C1316*D1316)*TAN(RADIANS(B1316)))/(C1316*D1316*SIN(RADIANS(E1316))*COS(RADIANS(E1316)))</f>
        <v>0.939707795103804</v>
      </c>
    </row>
    <row r="1317" customFormat="false" ht="15" hidden="false" customHeight="false" outlineLevel="0" collapsed="false">
      <c r="A1317" s="0" t="n">
        <v>15.679</v>
      </c>
      <c r="B1317" s="0" t="n">
        <v>36.177</v>
      </c>
      <c r="C1317" s="0" t="n">
        <v>19.698</v>
      </c>
      <c r="D1317" s="0" t="n">
        <v>14.546</v>
      </c>
      <c r="E1317" s="0" t="n">
        <v>26.318</v>
      </c>
      <c r="F1317" s="0" t="n">
        <v>0.0559</v>
      </c>
      <c r="G1317" s="12" t="n">
        <f aca="false">(A1317+(C1317*D1317*COS(RADIANS(E1317))^2-F1317*C1317*D1317)*TAN(RADIANS(B1317)))/(C1317*D1317*SIN(RADIANS(E1317))*COS(RADIANS(E1317)))</f>
        <v>1.51328237773162</v>
      </c>
    </row>
    <row r="1318" customFormat="false" ht="15" hidden="false" customHeight="false" outlineLevel="0" collapsed="false">
      <c r="A1318" s="0" t="n">
        <v>13.244</v>
      </c>
      <c r="B1318" s="0" t="n">
        <v>32.831</v>
      </c>
      <c r="C1318" s="0" t="n">
        <v>21.481</v>
      </c>
      <c r="D1318" s="0" t="n">
        <v>10.388</v>
      </c>
      <c r="E1318" s="0" t="n">
        <v>29.904</v>
      </c>
      <c r="F1318" s="0" t="n">
        <v>0.1605</v>
      </c>
      <c r="G1318" s="12" t="n">
        <f aca="false">(A1318+(C1318*D1318*COS(RADIANS(E1318))^2-F1318*C1318*D1318)*TAN(RADIANS(B1318)))/(C1318*D1318*SIN(RADIANS(E1318))*COS(RADIANS(E1318)))</f>
        <v>1.01960528072456</v>
      </c>
    </row>
    <row r="1319" customFormat="false" ht="15" hidden="false" customHeight="false" outlineLevel="0" collapsed="false">
      <c r="A1319" s="0" t="n">
        <v>13.422</v>
      </c>
      <c r="B1319" s="0" t="n">
        <v>32.708</v>
      </c>
      <c r="C1319" s="0" t="n">
        <v>18.523</v>
      </c>
      <c r="D1319" s="0" t="n">
        <v>15.849</v>
      </c>
      <c r="E1319" s="0" t="n">
        <v>29.574</v>
      </c>
      <c r="F1319" s="0" t="n">
        <v>0.0623</v>
      </c>
      <c r="G1319" s="12" t="n">
        <f aca="false">(A1319+(C1319*D1319*COS(RADIANS(E1319))^2-F1319*C1319*D1319)*TAN(RADIANS(B1319)))/(C1319*D1319*SIN(RADIANS(E1319))*COS(RADIANS(E1319)))</f>
        <v>1.14495286469406</v>
      </c>
    </row>
    <row r="1320" customFormat="false" ht="15" hidden="false" customHeight="false" outlineLevel="0" collapsed="false">
      <c r="A1320" s="0" t="n">
        <v>6.483</v>
      </c>
      <c r="B1320" s="0" t="n">
        <v>31.657</v>
      </c>
      <c r="C1320" s="0" t="n">
        <v>19.516</v>
      </c>
      <c r="D1320" s="0" t="n">
        <v>13.224</v>
      </c>
      <c r="E1320" s="0" t="n">
        <v>30.078</v>
      </c>
      <c r="F1320" s="0" t="n">
        <v>0.0872</v>
      </c>
      <c r="G1320" s="12" t="n">
        <f aca="false">(A1320+(C1320*D1320*COS(RADIANS(E1320))^2-F1320*C1320*D1320)*TAN(RADIANS(B1320)))/(C1320*D1320*SIN(RADIANS(E1320))*COS(RADIANS(E1320)))</f>
        <v>0.998541968119592</v>
      </c>
    </row>
    <row r="1321" customFormat="false" ht="15" hidden="false" customHeight="false" outlineLevel="0" collapsed="false">
      <c r="A1321" s="0" t="n">
        <v>16.031</v>
      </c>
      <c r="B1321" s="0" t="n">
        <v>37.567</v>
      </c>
      <c r="C1321" s="0" t="n">
        <v>20.711</v>
      </c>
      <c r="D1321" s="0" t="n">
        <v>18.156</v>
      </c>
      <c r="E1321" s="0" t="n">
        <v>31.099</v>
      </c>
      <c r="F1321" s="0" t="n">
        <v>0.1412</v>
      </c>
      <c r="G1321" s="12" t="n">
        <f aca="false">(A1321+(C1321*D1321*COS(RADIANS(E1321))^2-F1321*C1321*D1321)*TAN(RADIANS(B1321)))/(C1321*D1321*SIN(RADIANS(E1321))*COS(RADIANS(E1321)))</f>
        <v>1.12597197932932</v>
      </c>
    </row>
    <row r="1322" customFormat="false" ht="15" hidden="false" customHeight="false" outlineLevel="0" collapsed="false">
      <c r="A1322" s="0" t="n">
        <v>18.382</v>
      </c>
      <c r="B1322" s="0" t="n">
        <v>36.073</v>
      </c>
      <c r="C1322" s="0" t="n">
        <v>20.723</v>
      </c>
      <c r="D1322" s="0" t="n">
        <v>12.29</v>
      </c>
      <c r="E1322" s="0" t="n">
        <v>28.267</v>
      </c>
      <c r="F1322" s="0" t="n">
        <v>0.3302</v>
      </c>
      <c r="G1322" s="12" t="n">
        <f aca="false">(A1322+(C1322*D1322*COS(RADIANS(E1322))^2-F1322*C1322*D1322)*TAN(RADIANS(B1322)))/(C1322*D1322*SIN(RADIANS(E1322))*COS(RADIANS(E1322)))</f>
        <v>0.951155617106082</v>
      </c>
    </row>
    <row r="1323" customFormat="false" ht="15" hidden="false" customHeight="false" outlineLevel="0" collapsed="false">
      <c r="A1323" s="0" t="n">
        <v>8.698</v>
      </c>
      <c r="B1323" s="0" t="n">
        <v>37.386</v>
      </c>
      <c r="C1323" s="0" t="n">
        <v>19.105</v>
      </c>
      <c r="D1323" s="0" t="n">
        <v>8.255</v>
      </c>
      <c r="E1323" s="0" t="n">
        <v>26.435</v>
      </c>
      <c r="F1323" s="0" t="n">
        <v>0.2225</v>
      </c>
      <c r="G1323" s="12" t="n">
        <f aca="false">(A1323+(C1323*D1323*COS(RADIANS(E1323))^2-F1323*C1323*D1323)*TAN(RADIANS(B1323)))/(C1323*D1323*SIN(RADIANS(E1323))*COS(RADIANS(E1323)))</f>
        <v>1.24887753167223</v>
      </c>
    </row>
    <row r="1324" customFormat="false" ht="15" hidden="false" customHeight="false" outlineLevel="0" collapsed="false">
      <c r="A1324" s="0" t="n">
        <v>12.354</v>
      </c>
      <c r="B1324" s="0" t="n">
        <v>33.381</v>
      </c>
      <c r="C1324" s="0" t="n">
        <v>20.443</v>
      </c>
      <c r="D1324" s="0" t="n">
        <v>8.183</v>
      </c>
      <c r="E1324" s="0" t="n">
        <v>29.333</v>
      </c>
      <c r="F1324" s="0" t="n">
        <v>0</v>
      </c>
      <c r="G1324" s="12" t="n">
        <f aca="false">(A1324+(C1324*D1324*COS(RADIANS(E1324))^2-F1324*C1324*D1324)*TAN(RADIANS(B1324)))/(C1324*D1324*SIN(RADIANS(E1324))*COS(RADIANS(E1324)))</f>
        <v>1.3454883943507</v>
      </c>
    </row>
    <row r="1325" customFormat="false" ht="15" hidden="false" customHeight="false" outlineLevel="0" collapsed="false">
      <c r="A1325" s="0" t="n">
        <v>10.37</v>
      </c>
      <c r="B1325" s="0" t="n">
        <v>34.78</v>
      </c>
      <c r="C1325" s="0" t="n">
        <v>21.077</v>
      </c>
      <c r="D1325" s="0" t="n">
        <v>15.109</v>
      </c>
      <c r="E1325" s="0" t="n">
        <v>30.403</v>
      </c>
      <c r="F1325" s="0" t="n">
        <v>0.1117</v>
      </c>
      <c r="G1325" s="12" t="n">
        <f aca="false">(A1325+(C1325*D1325*COS(RADIANS(E1325))^2-F1325*C1325*D1325)*TAN(RADIANS(B1325)))/(C1325*D1325*SIN(RADIANS(E1325))*COS(RADIANS(E1325)))</f>
        <v>1.0804821453176</v>
      </c>
    </row>
    <row r="1326" customFormat="false" ht="15" hidden="false" customHeight="false" outlineLevel="0" collapsed="false">
      <c r="A1326" s="0" t="n">
        <v>11.139</v>
      </c>
      <c r="B1326" s="0" t="n">
        <v>37.256</v>
      </c>
      <c r="C1326" s="0" t="n">
        <v>20.686</v>
      </c>
      <c r="D1326" s="0" t="n">
        <v>14.058</v>
      </c>
      <c r="E1326" s="0" t="n">
        <v>28.83</v>
      </c>
      <c r="F1326" s="0" t="n">
        <v>0.1668</v>
      </c>
      <c r="G1326" s="12" t="n">
        <f aca="false">(A1326+(C1326*D1326*COS(RADIANS(E1326))^2-F1326*C1326*D1326)*TAN(RADIANS(B1326)))/(C1326*D1326*SIN(RADIANS(E1326))*COS(RADIANS(E1326)))</f>
        <v>1.17214136279742</v>
      </c>
    </row>
    <row r="1327" customFormat="false" ht="15" hidden="false" customHeight="false" outlineLevel="0" collapsed="false">
      <c r="A1327" s="0" t="n">
        <v>15.214</v>
      </c>
      <c r="B1327" s="0" t="n">
        <v>32.57</v>
      </c>
      <c r="C1327" s="0" t="n">
        <v>19.278</v>
      </c>
      <c r="D1327" s="0" t="n">
        <v>20.068</v>
      </c>
      <c r="E1327" s="0" t="n">
        <v>26.389</v>
      </c>
      <c r="F1327" s="0" t="n">
        <v>0.22</v>
      </c>
      <c r="G1327" s="12" t="n">
        <f aca="false">(A1327+(C1327*D1327*COS(RADIANS(E1327))^2-F1327*C1327*D1327)*TAN(RADIANS(B1327)))/(C1327*D1327*SIN(RADIANS(E1327))*COS(RADIANS(E1327)))</f>
        <v>1.0332570408025</v>
      </c>
    </row>
    <row r="1328" customFormat="false" ht="15" hidden="false" customHeight="false" outlineLevel="0" collapsed="false">
      <c r="A1328" s="0" t="n">
        <v>6.662</v>
      </c>
      <c r="B1328" s="0" t="n">
        <v>38.011</v>
      </c>
      <c r="C1328" s="0" t="n">
        <v>19.581</v>
      </c>
      <c r="D1328" s="0" t="n">
        <v>13.031</v>
      </c>
      <c r="E1328" s="0" t="n">
        <v>26.613</v>
      </c>
      <c r="F1328" s="0" t="n">
        <v>0.0715</v>
      </c>
      <c r="G1328" s="12" t="n">
        <f aca="false">(A1328+(C1328*D1328*COS(RADIANS(E1328))^2-F1328*C1328*D1328)*TAN(RADIANS(B1328)))/(C1328*D1328*SIN(RADIANS(E1328))*COS(RADIANS(E1328)))</f>
        <v>1.4855806232284</v>
      </c>
    </row>
    <row r="1329" customFormat="false" ht="15" hidden="false" customHeight="false" outlineLevel="0" collapsed="false">
      <c r="A1329" s="0" t="n">
        <v>17.457</v>
      </c>
      <c r="B1329" s="0" t="n">
        <v>36.294</v>
      </c>
      <c r="C1329" s="0" t="n">
        <v>18.719</v>
      </c>
      <c r="D1329" s="0" t="n">
        <v>13.932</v>
      </c>
      <c r="E1329" s="0" t="n">
        <v>28.762</v>
      </c>
      <c r="F1329" s="0" t="n">
        <v>0.2221</v>
      </c>
      <c r="G1329" s="12" t="n">
        <f aca="false">(A1329+(C1329*D1329*COS(RADIANS(E1329))^2-F1329*C1329*D1329)*TAN(RADIANS(B1329)))/(C1329*D1329*SIN(RADIANS(E1329))*COS(RADIANS(E1329)))</f>
        <v>1.10998550732495</v>
      </c>
    </row>
    <row r="1330" customFormat="false" ht="15" hidden="false" customHeight="false" outlineLevel="0" collapsed="false">
      <c r="A1330" s="0" t="n">
        <v>18.015</v>
      </c>
      <c r="B1330" s="0" t="n">
        <v>38.871</v>
      </c>
      <c r="C1330" s="0" t="n">
        <v>19.53</v>
      </c>
      <c r="D1330" s="0" t="n">
        <v>16.268</v>
      </c>
      <c r="E1330" s="0" t="n">
        <v>26.718</v>
      </c>
      <c r="F1330" s="0" t="n">
        <v>0.1275</v>
      </c>
      <c r="G1330" s="12" t="n">
        <f aca="false">(A1330+(C1330*D1330*COS(RADIANS(E1330))^2-F1330*C1330*D1330)*TAN(RADIANS(B1330)))/(C1330*D1330*SIN(RADIANS(E1330))*COS(RADIANS(E1330)))</f>
        <v>1.48670420205005</v>
      </c>
    </row>
    <row r="1331" customFormat="false" ht="15" hidden="false" customHeight="false" outlineLevel="0" collapsed="false">
      <c r="A1331" s="0" t="n">
        <v>13.996</v>
      </c>
      <c r="B1331" s="0" t="n">
        <v>37.815</v>
      </c>
      <c r="C1331" s="0" t="n">
        <v>19.702</v>
      </c>
      <c r="D1331" s="0" t="n">
        <v>11.374</v>
      </c>
      <c r="E1331" s="0" t="n">
        <v>28.562</v>
      </c>
      <c r="F1331" s="0" t="n">
        <v>0.113</v>
      </c>
      <c r="G1331" s="12" t="n">
        <f aca="false">(A1331+(C1331*D1331*COS(RADIANS(E1331))^2-F1331*C1331*D1331)*TAN(RADIANS(B1331)))/(C1331*D1331*SIN(RADIANS(E1331))*COS(RADIANS(E1331)))</f>
        <v>1.36560353476044</v>
      </c>
    </row>
    <row r="1332" customFormat="false" ht="15" hidden="false" customHeight="false" outlineLevel="0" collapsed="false">
      <c r="A1332" s="0" t="n">
        <v>5.077</v>
      </c>
      <c r="B1332" s="0" t="n">
        <v>30.089</v>
      </c>
      <c r="C1332" s="0" t="n">
        <v>19.804</v>
      </c>
      <c r="D1332" s="0" t="n">
        <v>17.081</v>
      </c>
      <c r="E1332" s="0" t="n">
        <v>24.545</v>
      </c>
      <c r="F1332" s="0" t="n">
        <v>0.2301</v>
      </c>
      <c r="G1332" s="12" t="n">
        <f aca="false">(A1332+(C1332*D1332*COS(RADIANS(E1332))^2-F1332*C1332*D1332)*TAN(RADIANS(B1332)))/(C1332*D1332*SIN(RADIANS(E1332))*COS(RADIANS(E1332)))</f>
        <v>0.955671515372577</v>
      </c>
    </row>
    <row r="1333" customFormat="false" ht="15" hidden="false" customHeight="false" outlineLevel="0" collapsed="false">
      <c r="A1333" s="0" t="n">
        <v>11.014</v>
      </c>
      <c r="B1333" s="0" t="n">
        <v>33.281</v>
      </c>
      <c r="C1333" s="0" t="n">
        <v>20.252</v>
      </c>
      <c r="D1333" s="0" t="n">
        <v>19.456</v>
      </c>
      <c r="E1333" s="0" t="n">
        <v>29.591</v>
      </c>
      <c r="F1333" s="0" t="n">
        <v>0.1222</v>
      </c>
      <c r="G1333" s="12" t="n">
        <f aca="false">(A1333+(C1333*D1333*COS(RADIANS(E1333))^2-F1333*C1333*D1333)*TAN(RADIANS(B1333)))/(C1333*D1333*SIN(RADIANS(E1333))*COS(RADIANS(E1333)))</f>
        <v>1.0341961354138</v>
      </c>
    </row>
    <row r="1334" customFormat="false" ht="15" hidden="false" customHeight="false" outlineLevel="0" collapsed="false">
      <c r="A1334" s="0" t="n">
        <v>19.932</v>
      </c>
      <c r="B1334" s="0" t="n">
        <v>27.985</v>
      </c>
      <c r="C1334" s="0" t="n">
        <v>19.968</v>
      </c>
      <c r="D1334" s="0" t="n">
        <v>17.305</v>
      </c>
      <c r="E1334" s="0" t="n">
        <v>29.1</v>
      </c>
      <c r="F1334" s="0" t="n">
        <v>0.2411</v>
      </c>
      <c r="G1334" s="12" t="n">
        <f aca="false">(A1334+(C1334*D1334*COS(RADIANS(E1334))^2-F1334*C1334*D1334)*TAN(RADIANS(B1334)))/(C1334*D1334*SIN(RADIANS(E1334))*COS(RADIANS(E1334)))</f>
        <v>0.788947697652979</v>
      </c>
    </row>
    <row r="1335" customFormat="false" ht="15" hidden="false" customHeight="false" outlineLevel="0" collapsed="false">
      <c r="A1335" s="0" t="n">
        <v>3.888</v>
      </c>
      <c r="B1335" s="0" t="n">
        <v>29.141</v>
      </c>
      <c r="C1335" s="0" t="n">
        <v>19.605</v>
      </c>
      <c r="D1335" s="0" t="n">
        <v>13.903</v>
      </c>
      <c r="E1335" s="0" t="n">
        <v>30.352</v>
      </c>
      <c r="F1335" s="0" t="n">
        <v>0.1384</v>
      </c>
      <c r="G1335" s="12" t="n">
        <f aca="false">(A1335+(C1335*D1335*COS(RADIANS(E1335))^2-F1335*C1335*D1335)*TAN(RADIANS(B1335)))/(C1335*D1335*SIN(RADIANS(E1335))*COS(RADIANS(E1335)))</f>
        <v>0.80787021311881</v>
      </c>
    </row>
    <row r="1336" customFormat="false" ht="15" hidden="false" customHeight="false" outlineLevel="0" collapsed="false">
      <c r="A1336" s="0" t="n">
        <v>13.61</v>
      </c>
      <c r="B1336" s="0" t="n">
        <v>32.038</v>
      </c>
      <c r="C1336" s="0" t="n">
        <v>18.179</v>
      </c>
      <c r="D1336" s="0" t="n">
        <v>12.45</v>
      </c>
      <c r="E1336" s="0" t="n">
        <v>28.937</v>
      </c>
      <c r="F1336" s="0" t="n">
        <v>0.1199</v>
      </c>
      <c r="G1336" s="12" t="n">
        <f aca="false">(A1336+(C1336*D1336*COS(RADIANS(E1336))^2-F1336*C1336*D1336)*TAN(RADIANS(B1336)))/(C1336*D1336*SIN(RADIANS(E1336))*COS(RADIANS(E1336)))</f>
        <v>1.0967071654596</v>
      </c>
    </row>
    <row r="1337" customFormat="false" ht="15" hidden="false" customHeight="false" outlineLevel="0" collapsed="false">
      <c r="A1337" s="0" t="n">
        <v>10.28</v>
      </c>
      <c r="B1337" s="0" t="n">
        <v>39.005</v>
      </c>
      <c r="C1337" s="0" t="n">
        <v>19.83</v>
      </c>
      <c r="D1337" s="0" t="n">
        <v>20.191</v>
      </c>
      <c r="E1337" s="0" t="n">
        <v>29.496</v>
      </c>
      <c r="F1337" s="0" t="n">
        <v>0.1788</v>
      </c>
      <c r="G1337" s="12" t="n">
        <f aca="false">(A1337+(C1337*D1337*COS(RADIANS(E1337))^2-F1337*C1337*D1337)*TAN(RADIANS(B1337)))/(C1337*D1337*SIN(RADIANS(E1337))*COS(RADIANS(E1337)))</f>
        <v>1.15376809771247</v>
      </c>
    </row>
    <row r="1338" customFormat="false" ht="15" hidden="false" customHeight="false" outlineLevel="0" collapsed="false">
      <c r="A1338" s="0" t="n">
        <v>18.218</v>
      </c>
      <c r="B1338" s="0" t="n">
        <v>34.935</v>
      </c>
      <c r="C1338" s="0" t="n">
        <v>21.064</v>
      </c>
      <c r="D1338" s="0" t="n">
        <v>15.419</v>
      </c>
      <c r="E1338" s="0" t="n">
        <v>27.278</v>
      </c>
      <c r="F1338" s="0" t="n">
        <v>0.1119</v>
      </c>
      <c r="G1338" s="12" t="n">
        <f aca="false">(A1338+(C1338*D1338*COS(RADIANS(E1338))^2-F1338*C1338*D1338)*TAN(RADIANS(B1338)))/(C1338*D1338*SIN(RADIANS(E1338))*COS(RADIANS(E1338)))</f>
        <v>1.30044507337888</v>
      </c>
    </row>
    <row r="1339" customFormat="false" ht="15" hidden="false" customHeight="false" outlineLevel="0" collapsed="false">
      <c r="A1339" s="0" t="n">
        <v>12.3</v>
      </c>
      <c r="B1339" s="0" t="n">
        <v>36.324</v>
      </c>
      <c r="C1339" s="0" t="n">
        <v>20.745</v>
      </c>
      <c r="D1339" s="0" t="n">
        <v>19.766</v>
      </c>
      <c r="E1339" s="0" t="n">
        <v>24.57</v>
      </c>
      <c r="F1339" s="0" t="n">
        <v>0.0828</v>
      </c>
      <c r="G1339" s="12" t="n">
        <f aca="false">(A1339+(C1339*D1339*COS(RADIANS(E1339))^2-F1339*C1339*D1339)*TAN(RADIANS(B1339)))/(C1339*D1339*SIN(RADIANS(E1339))*COS(RADIANS(E1339)))</f>
        <v>1.52642168284659</v>
      </c>
    </row>
    <row r="1340" customFormat="false" ht="15" hidden="false" customHeight="false" outlineLevel="0" collapsed="false">
      <c r="A1340" s="0" t="n">
        <v>16.616</v>
      </c>
      <c r="B1340" s="0" t="n">
        <v>33.485</v>
      </c>
      <c r="C1340" s="0" t="n">
        <v>18.426</v>
      </c>
      <c r="D1340" s="0" t="n">
        <v>15.276</v>
      </c>
      <c r="E1340" s="0" t="n">
        <v>31.54</v>
      </c>
      <c r="F1340" s="0" t="n">
        <v>0.207</v>
      </c>
      <c r="G1340" s="12" t="n">
        <f aca="false">(A1340+(C1340*D1340*COS(RADIANS(E1340))^2-F1340*C1340*D1340)*TAN(RADIANS(B1340)))/(C1340*D1340*SIN(RADIANS(E1340))*COS(RADIANS(E1340)))</f>
        <v>0.903059410446152</v>
      </c>
    </row>
    <row r="1341" customFormat="false" ht="15" hidden="false" customHeight="false" outlineLevel="0" collapsed="false">
      <c r="A1341" s="0" t="n">
        <v>17.262</v>
      </c>
      <c r="B1341" s="0" t="n">
        <v>34.01</v>
      </c>
      <c r="C1341" s="0" t="n">
        <v>19.677</v>
      </c>
      <c r="D1341" s="0" t="n">
        <v>13.767</v>
      </c>
      <c r="E1341" s="0" t="n">
        <v>30.528</v>
      </c>
      <c r="F1341" s="0" t="n">
        <v>0.2064</v>
      </c>
      <c r="G1341" s="12" t="n">
        <f aca="false">(A1341+(C1341*D1341*COS(RADIANS(E1341))^2-F1341*C1341*D1341)*TAN(RADIANS(B1341)))/(C1341*D1341*SIN(RADIANS(E1341))*COS(RADIANS(E1341)))</f>
        <v>0.971576514570241</v>
      </c>
    </row>
    <row r="1342" customFormat="false" ht="15" hidden="false" customHeight="false" outlineLevel="0" collapsed="false">
      <c r="A1342" s="0" t="n">
        <v>22.345</v>
      </c>
      <c r="B1342" s="0" t="n">
        <v>36.995</v>
      </c>
      <c r="C1342" s="0" t="n">
        <v>19.702</v>
      </c>
      <c r="D1342" s="0" t="n">
        <v>12.565</v>
      </c>
      <c r="E1342" s="0" t="n">
        <v>29.471</v>
      </c>
      <c r="F1342" s="0" t="n">
        <v>0.2523</v>
      </c>
      <c r="G1342" s="12" t="n">
        <f aca="false">(A1342+(C1342*D1342*COS(RADIANS(E1342))^2-F1342*C1342*D1342)*TAN(RADIANS(B1342)))/(C1342*D1342*SIN(RADIANS(E1342))*COS(RADIANS(E1342)))</f>
        <v>1.10017515481358</v>
      </c>
    </row>
    <row r="1343" customFormat="false" ht="15" hidden="false" customHeight="false" outlineLevel="0" collapsed="false">
      <c r="A1343" s="0" t="n">
        <v>14.188</v>
      </c>
      <c r="B1343" s="0" t="n">
        <v>34.469</v>
      </c>
      <c r="C1343" s="0" t="n">
        <v>20.257</v>
      </c>
      <c r="D1343" s="0" t="n">
        <v>13.387</v>
      </c>
      <c r="E1343" s="0" t="n">
        <v>28.216</v>
      </c>
      <c r="F1343" s="0" t="n">
        <v>0.0623</v>
      </c>
      <c r="G1343" s="12" t="n">
        <f aca="false">(A1343+(C1343*D1343*COS(RADIANS(E1343))^2-F1343*C1343*D1343)*TAN(RADIANS(B1343)))/(C1343*D1343*SIN(RADIANS(E1343))*COS(RADIANS(E1343)))</f>
        <v>1.30235662142649</v>
      </c>
    </row>
    <row r="1344" customFormat="false" ht="15" hidden="false" customHeight="false" outlineLevel="0" collapsed="false">
      <c r="A1344" s="0" t="n">
        <v>16.504</v>
      </c>
      <c r="B1344" s="0" t="n">
        <v>34.339</v>
      </c>
      <c r="C1344" s="0" t="n">
        <v>19.615</v>
      </c>
      <c r="D1344" s="0" t="n">
        <v>12.859</v>
      </c>
      <c r="E1344" s="0" t="n">
        <v>28.502</v>
      </c>
      <c r="F1344" s="0" t="n">
        <v>0.2186</v>
      </c>
      <c r="G1344" s="12" t="n">
        <f aca="false">(A1344+(C1344*D1344*COS(RADIANS(E1344))^2-F1344*C1344*D1344)*TAN(RADIANS(B1344)))/(C1344*D1344*SIN(RADIANS(E1344))*COS(RADIANS(E1344)))</f>
        <v>1.05802403401708</v>
      </c>
    </row>
    <row r="1345" customFormat="false" ht="15" hidden="false" customHeight="false" outlineLevel="0" collapsed="false">
      <c r="A1345" s="0" t="n">
        <v>9.06</v>
      </c>
      <c r="B1345" s="0" t="n">
        <v>36.543</v>
      </c>
      <c r="C1345" s="0" t="n">
        <v>21.711</v>
      </c>
      <c r="D1345" s="0" t="n">
        <v>13.558</v>
      </c>
      <c r="E1345" s="0" t="n">
        <v>25.892</v>
      </c>
      <c r="F1345" s="0" t="n">
        <v>0.22</v>
      </c>
      <c r="G1345" s="12" t="n">
        <f aca="false">(A1345+(C1345*D1345*COS(RADIANS(E1345))^2-F1345*C1345*D1345)*TAN(RADIANS(B1345)))/(C1345*D1345*SIN(RADIANS(E1345))*COS(RADIANS(E1345)))</f>
        <v>1.19012974507373</v>
      </c>
    </row>
    <row r="1346" customFormat="false" ht="15" hidden="false" customHeight="false" outlineLevel="0" collapsed="false">
      <c r="A1346" s="0" t="n">
        <v>19.762</v>
      </c>
      <c r="B1346" s="0" t="n">
        <v>31.767</v>
      </c>
      <c r="C1346" s="0" t="n">
        <v>19.84</v>
      </c>
      <c r="D1346" s="0" t="n">
        <v>11.101</v>
      </c>
      <c r="E1346" s="0" t="n">
        <v>33.038</v>
      </c>
      <c r="F1346" s="0" t="n">
        <v>0.0802</v>
      </c>
      <c r="G1346" s="12" t="n">
        <f aca="false">(A1346+(C1346*D1346*COS(RADIANS(E1346))^2-F1346*C1346*D1346)*TAN(RADIANS(B1346)))/(C1346*D1346*SIN(RADIANS(E1346))*COS(RADIANS(E1346)))</f>
        <v>1.03980913695979</v>
      </c>
    </row>
    <row r="1347" customFormat="false" ht="15" hidden="false" customHeight="false" outlineLevel="0" collapsed="false">
      <c r="A1347" s="0" t="n">
        <v>11.958</v>
      </c>
      <c r="B1347" s="0" t="n">
        <v>35.536</v>
      </c>
      <c r="C1347" s="0" t="n">
        <v>18.04</v>
      </c>
      <c r="D1347" s="0" t="n">
        <v>7.45</v>
      </c>
      <c r="E1347" s="0" t="n">
        <v>31.929</v>
      </c>
      <c r="F1347" s="0" t="n">
        <v>0.205</v>
      </c>
      <c r="G1347" s="12" t="n">
        <f aca="false">(A1347+(C1347*D1347*COS(RADIANS(E1347))^2-F1347*C1347*D1347)*TAN(RADIANS(B1347)))/(C1347*D1347*SIN(RADIANS(E1347))*COS(RADIANS(E1347)))</f>
        <v>1.01820154622728</v>
      </c>
    </row>
    <row r="1348" customFormat="false" ht="15" hidden="false" customHeight="false" outlineLevel="0" collapsed="false">
      <c r="A1348" s="0" t="n">
        <v>12.757</v>
      </c>
      <c r="B1348" s="0" t="n">
        <v>35.682</v>
      </c>
      <c r="C1348" s="0" t="n">
        <v>20.7</v>
      </c>
      <c r="D1348" s="0" t="n">
        <v>15.885</v>
      </c>
      <c r="E1348" s="0" t="n">
        <v>30.014</v>
      </c>
      <c r="F1348" s="0" t="n">
        <v>0.1472</v>
      </c>
      <c r="G1348" s="12" t="n">
        <f aca="false">(A1348+(C1348*D1348*COS(RADIANS(E1348))^2-F1348*C1348*D1348)*TAN(RADIANS(B1348)))/(C1348*D1348*SIN(RADIANS(E1348))*COS(RADIANS(E1348)))</f>
        <v>1.08860568476317</v>
      </c>
    </row>
    <row r="1349" customFormat="false" ht="15" hidden="false" customHeight="false" outlineLevel="0" collapsed="false">
      <c r="A1349" s="0" t="n">
        <v>14.911</v>
      </c>
      <c r="B1349" s="0" t="n">
        <v>29.67</v>
      </c>
      <c r="C1349" s="0" t="n">
        <v>20.423</v>
      </c>
      <c r="D1349" s="0" t="n">
        <v>16.22</v>
      </c>
      <c r="E1349" s="0" t="n">
        <v>29.484</v>
      </c>
      <c r="F1349" s="0" t="n">
        <v>0.1987</v>
      </c>
      <c r="G1349" s="12" t="n">
        <f aca="false">(A1349+(C1349*D1349*COS(RADIANS(E1349))^2-F1349*C1349*D1349)*TAN(RADIANS(B1349)))/(C1349*D1349*SIN(RADIANS(E1349))*COS(RADIANS(E1349)))</f>
        <v>0.848441930705065</v>
      </c>
    </row>
    <row r="1350" customFormat="false" ht="15" hidden="false" customHeight="false" outlineLevel="0" collapsed="false">
      <c r="A1350" s="0" t="n">
        <v>8.748</v>
      </c>
      <c r="B1350" s="0" t="n">
        <v>31.669</v>
      </c>
      <c r="C1350" s="0" t="n">
        <v>19.293</v>
      </c>
      <c r="D1350" s="0" t="n">
        <v>11.139</v>
      </c>
      <c r="E1350" s="0" t="n">
        <v>29.757</v>
      </c>
      <c r="F1350" s="0" t="n">
        <v>0.1041</v>
      </c>
      <c r="G1350" s="12" t="n">
        <f aca="false">(A1350+(C1350*D1350*COS(RADIANS(E1350))^2-F1350*C1350*D1350)*TAN(RADIANS(B1350)))/(C1350*D1350*SIN(RADIANS(E1350))*COS(RADIANS(E1350)))</f>
        <v>1.02442308810407</v>
      </c>
    </row>
    <row r="1351" customFormat="false" ht="15" hidden="false" customHeight="false" outlineLevel="0" collapsed="false">
      <c r="A1351" s="0" t="n">
        <v>15.915</v>
      </c>
      <c r="B1351" s="0" t="n">
        <v>33.02</v>
      </c>
      <c r="C1351" s="0" t="n">
        <v>19.895</v>
      </c>
      <c r="D1351" s="0" t="n">
        <v>13.675</v>
      </c>
      <c r="E1351" s="0" t="n">
        <v>27.89</v>
      </c>
      <c r="F1351" s="0" t="n">
        <v>0.1621</v>
      </c>
      <c r="G1351" s="12" t="n">
        <f aca="false">(A1351+(C1351*D1351*COS(RADIANS(E1351))^2-F1351*C1351*D1351)*TAN(RADIANS(B1351)))/(C1351*D1351*SIN(RADIANS(E1351))*COS(RADIANS(E1351)))</f>
        <v>1.1146509875292</v>
      </c>
    </row>
    <row r="1352" customFormat="false" ht="15" hidden="false" customHeight="false" outlineLevel="0" collapsed="false">
      <c r="A1352" s="0" t="n">
        <v>18.87</v>
      </c>
      <c r="B1352" s="0" t="n">
        <v>33.519</v>
      </c>
      <c r="C1352" s="0" t="n">
        <v>20.35</v>
      </c>
      <c r="D1352" s="0" t="n">
        <v>12.217</v>
      </c>
      <c r="E1352" s="0" t="n">
        <v>29.788</v>
      </c>
      <c r="F1352" s="0" t="n">
        <v>0.1328</v>
      </c>
      <c r="G1352" s="12" t="n">
        <f aca="false">(A1352+(C1352*D1352*COS(RADIANS(E1352))^2-F1352*C1352*D1352)*TAN(RADIANS(B1352)))/(C1352*D1352*SIN(RADIANS(E1352))*COS(RADIANS(E1352)))</f>
        <v>1.12913685881573</v>
      </c>
    </row>
    <row r="1353" customFormat="false" ht="15" hidden="false" customHeight="false" outlineLevel="0" collapsed="false">
      <c r="A1353" s="0" t="n">
        <v>16.172</v>
      </c>
      <c r="B1353" s="0" t="n">
        <v>36.455</v>
      </c>
      <c r="C1353" s="0" t="n">
        <v>18.81</v>
      </c>
      <c r="D1353" s="0" t="n">
        <v>16.706</v>
      </c>
      <c r="E1353" s="0" t="n">
        <v>28.183</v>
      </c>
      <c r="F1353" s="0" t="n">
        <v>0.1318</v>
      </c>
      <c r="G1353" s="12" t="n">
        <f aca="false">(A1353+(C1353*D1353*COS(RADIANS(E1353))^2-F1353*C1353*D1353)*TAN(RADIANS(B1353)))/(C1353*D1353*SIN(RADIANS(E1353))*COS(RADIANS(E1353)))</f>
        <v>1.26847328135426</v>
      </c>
    </row>
    <row r="1354" customFormat="false" ht="15" hidden="false" customHeight="false" outlineLevel="0" collapsed="false">
      <c r="A1354" s="0" t="n">
        <v>8.644</v>
      </c>
      <c r="B1354" s="0" t="n">
        <v>32.225</v>
      </c>
      <c r="C1354" s="0" t="n">
        <v>20.519</v>
      </c>
      <c r="D1354" s="0" t="n">
        <v>16.156</v>
      </c>
      <c r="E1354" s="0" t="n">
        <v>29.051</v>
      </c>
      <c r="F1354" s="0" t="n">
        <v>0.3757</v>
      </c>
      <c r="G1354" s="12" t="n">
        <f aca="false">(A1354+(C1354*D1354*COS(RADIANS(E1354))^2-F1354*C1354*D1354)*TAN(RADIANS(B1354)))/(C1354*D1354*SIN(RADIANS(E1354))*COS(RADIANS(E1354)))</f>
        <v>0.638325621095121</v>
      </c>
    </row>
    <row r="1355" customFormat="false" ht="15" hidden="false" customHeight="false" outlineLevel="0" collapsed="false">
      <c r="A1355" s="0" t="n">
        <v>14.505</v>
      </c>
      <c r="B1355" s="0" t="n">
        <v>32.173</v>
      </c>
      <c r="C1355" s="0" t="n">
        <v>19.628</v>
      </c>
      <c r="D1355" s="0" t="n">
        <v>10.931</v>
      </c>
      <c r="E1355" s="0" t="n">
        <v>28.6</v>
      </c>
      <c r="F1355" s="0" t="n">
        <v>0.272</v>
      </c>
      <c r="G1355" s="12" t="n">
        <f aca="false">(A1355+(C1355*D1355*COS(RADIANS(E1355))^2-F1355*C1355*D1355)*TAN(RADIANS(B1355)))/(C1355*D1355*SIN(RADIANS(E1355))*COS(RADIANS(E1355)))</f>
        <v>0.907536537078949</v>
      </c>
    </row>
    <row r="1356" customFormat="false" ht="15" hidden="false" customHeight="false" outlineLevel="0" collapsed="false">
      <c r="A1356" s="0" t="n">
        <v>17.968</v>
      </c>
      <c r="B1356" s="0" t="n">
        <v>36.887</v>
      </c>
      <c r="C1356" s="0" t="n">
        <v>18.897</v>
      </c>
      <c r="D1356" s="0" t="n">
        <v>16.409</v>
      </c>
      <c r="E1356" s="0" t="n">
        <v>27.344</v>
      </c>
      <c r="F1356" s="0" t="n">
        <v>0.2255</v>
      </c>
      <c r="G1356" s="12" t="n">
        <f aca="false">(A1356+(C1356*D1356*COS(RADIANS(E1356))^2-F1356*C1356*D1356)*TAN(RADIANS(B1356)))/(C1356*D1356*SIN(RADIANS(E1356))*COS(RADIANS(E1356)))</f>
        <v>1.17851717122432</v>
      </c>
    </row>
    <row r="1357" customFormat="false" ht="15" hidden="false" customHeight="false" outlineLevel="0" collapsed="false">
      <c r="A1357" s="0" t="n">
        <v>7.488</v>
      </c>
      <c r="B1357" s="0" t="n">
        <v>37.846</v>
      </c>
      <c r="C1357" s="0" t="n">
        <v>20.105</v>
      </c>
      <c r="D1357" s="0" t="n">
        <v>14.426</v>
      </c>
      <c r="E1357" s="0" t="n">
        <v>26.822</v>
      </c>
      <c r="F1357" s="0" t="n">
        <v>0.1244</v>
      </c>
      <c r="G1357" s="12" t="n">
        <f aca="false">(A1357+(C1357*D1357*COS(RADIANS(E1357))^2-F1357*C1357*D1357)*TAN(RADIANS(B1357)))/(C1357*D1357*SIN(RADIANS(E1357))*COS(RADIANS(E1357)))</f>
        <v>1.3607490563376</v>
      </c>
    </row>
    <row r="1358" customFormat="false" ht="15" hidden="false" customHeight="false" outlineLevel="0" collapsed="false">
      <c r="A1358" s="0" t="n">
        <v>10.701</v>
      </c>
      <c r="B1358" s="0" t="n">
        <v>37.949</v>
      </c>
      <c r="C1358" s="0" t="n">
        <v>19.051</v>
      </c>
      <c r="D1358" s="0" t="n">
        <v>14.284</v>
      </c>
      <c r="E1358" s="0" t="n">
        <v>31.93</v>
      </c>
      <c r="F1358" s="0" t="n">
        <v>0.1292</v>
      </c>
      <c r="G1358" s="12" t="n">
        <f aca="false">(A1358+(C1358*D1358*COS(RADIANS(E1358))^2-F1358*C1358*D1358)*TAN(RADIANS(B1358)))/(C1358*D1358*SIN(RADIANS(E1358))*COS(RADIANS(E1358)))</f>
        <v>1.1145607632031</v>
      </c>
    </row>
    <row r="1359" customFormat="false" ht="15" hidden="false" customHeight="false" outlineLevel="0" collapsed="false">
      <c r="A1359" s="0" t="n">
        <v>18.506</v>
      </c>
      <c r="B1359" s="0" t="n">
        <v>31.609</v>
      </c>
      <c r="C1359" s="0" t="n">
        <v>21.372</v>
      </c>
      <c r="D1359" s="0" t="n">
        <v>17.544</v>
      </c>
      <c r="E1359" s="0" t="n">
        <v>31.06</v>
      </c>
      <c r="F1359" s="0" t="n">
        <v>0.2265</v>
      </c>
      <c r="G1359" s="12" t="n">
        <f aca="false">(A1359+(C1359*D1359*COS(RADIANS(E1359))^2-F1359*C1359*D1359)*TAN(RADIANS(B1359)))/(C1359*D1359*SIN(RADIANS(E1359))*COS(RADIANS(E1359)))</f>
        <v>0.818086863716362</v>
      </c>
    </row>
    <row r="1360" customFormat="false" ht="15" hidden="false" customHeight="false" outlineLevel="0" collapsed="false">
      <c r="A1360" s="0" t="n">
        <v>16.08</v>
      </c>
      <c r="B1360" s="0" t="n">
        <v>32.223</v>
      </c>
      <c r="C1360" s="0" t="n">
        <v>20.273</v>
      </c>
      <c r="D1360" s="0" t="n">
        <v>18.3</v>
      </c>
      <c r="E1360" s="0" t="n">
        <v>31.453</v>
      </c>
      <c r="F1360" s="0" t="n">
        <v>0.1647</v>
      </c>
      <c r="G1360" s="12" t="n">
        <f aca="false">(A1360+(C1360*D1360*COS(RADIANS(E1360))^2-F1360*C1360*D1360)*TAN(RADIANS(B1360)))/(C1360*D1360*SIN(RADIANS(E1360))*COS(RADIANS(E1360)))</f>
        <v>0.894602897242119</v>
      </c>
    </row>
    <row r="1361" customFormat="false" ht="15" hidden="false" customHeight="false" outlineLevel="0" collapsed="false">
      <c r="A1361" s="0" t="n">
        <v>16.648</v>
      </c>
      <c r="B1361" s="0" t="n">
        <v>29.855</v>
      </c>
      <c r="C1361" s="0" t="n">
        <v>20.766</v>
      </c>
      <c r="D1361" s="0" t="n">
        <v>14.565</v>
      </c>
      <c r="E1361" s="0" t="n">
        <v>27.337</v>
      </c>
      <c r="F1361" s="0" t="n">
        <v>0.1671</v>
      </c>
      <c r="G1361" s="12" t="n">
        <f aca="false">(A1361+(C1361*D1361*COS(RADIANS(E1361))^2-F1361*C1361*D1361)*TAN(RADIANS(B1361)))/(C1361*D1361*SIN(RADIANS(E1361))*COS(RADIANS(E1361)))</f>
        <v>1.0101217728223</v>
      </c>
    </row>
    <row r="1362" customFormat="false" ht="15" hidden="false" customHeight="false" outlineLevel="0" collapsed="false">
      <c r="A1362" s="0" t="n">
        <v>22.438</v>
      </c>
      <c r="B1362" s="0" t="n">
        <v>27.178</v>
      </c>
      <c r="C1362" s="0" t="n">
        <v>17.165</v>
      </c>
      <c r="D1362" s="0" t="n">
        <v>8.565</v>
      </c>
      <c r="E1362" s="0" t="n">
        <v>28.477</v>
      </c>
      <c r="F1362" s="0" t="n">
        <v>0.1063</v>
      </c>
      <c r="G1362" s="12" t="n">
        <f aca="false">(A1362+(C1362*D1362*COS(RADIANS(E1362))^2-F1362*C1362*D1362)*TAN(RADIANS(B1362)))/(C1362*D1362*SIN(RADIANS(E1362))*COS(RADIANS(E1362)))</f>
        <v>1.18047762614179</v>
      </c>
    </row>
    <row r="1363" customFormat="false" ht="15" hidden="false" customHeight="false" outlineLevel="0" collapsed="false">
      <c r="A1363" s="0" t="n">
        <v>16.874</v>
      </c>
      <c r="B1363" s="0" t="n">
        <v>31.239</v>
      </c>
      <c r="C1363" s="0" t="n">
        <v>19.984</v>
      </c>
      <c r="D1363" s="0" t="n">
        <v>21.098</v>
      </c>
      <c r="E1363" s="0" t="n">
        <v>28.299</v>
      </c>
      <c r="F1363" s="0" t="n">
        <v>0.0585</v>
      </c>
      <c r="G1363" s="12" t="n">
        <f aca="false">(A1363+(C1363*D1363*COS(RADIANS(E1363))^2-F1363*C1363*D1363)*TAN(RADIANS(B1363)))/(C1363*D1363*SIN(RADIANS(E1363))*COS(RADIANS(E1363)))</f>
        <v>1.13740924170257</v>
      </c>
    </row>
    <row r="1364" customFormat="false" ht="15" hidden="false" customHeight="false" outlineLevel="0" collapsed="false">
      <c r="A1364" s="0" t="n">
        <v>17.632</v>
      </c>
      <c r="B1364" s="0" t="n">
        <v>33.008</v>
      </c>
      <c r="C1364" s="0" t="n">
        <v>21.283</v>
      </c>
      <c r="D1364" s="0" t="n">
        <v>12.397</v>
      </c>
      <c r="E1364" s="0" t="n">
        <v>28.916</v>
      </c>
      <c r="F1364" s="0" t="n">
        <v>0.2964</v>
      </c>
      <c r="G1364" s="12" t="n">
        <f aca="false">(A1364+(C1364*D1364*COS(RADIANS(E1364))^2-F1364*C1364*D1364)*TAN(RADIANS(B1364)))/(C1364*D1364*SIN(RADIANS(E1364))*COS(RADIANS(E1364)))</f>
        <v>0.878953945480057</v>
      </c>
    </row>
    <row r="1365" customFormat="false" ht="15" hidden="false" customHeight="false" outlineLevel="0" collapsed="false">
      <c r="A1365" s="0" t="n">
        <v>25.843</v>
      </c>
      <c r="B1365" s="0" t="n">
        <v>35.589</v>
      </c>
      <c r="C1365" s="0" t="n">
        <v>18.731</v>
      </c>
      <c r="D1365" s="0" t="n">
        <v>16.214</v>
      </c>
      <c r="E1365" s="0" t="n">
        <v>26.119</v>
      </c>
      <c r="F1365" s="0" t="n">
        <v>0.1438</v>
      </c>
      <c r="G1365" s="12" t="n">
        <f aca="false">(A1365+(C1365*D1365*COS(RADIANS(E1365))^2-F1365*C1365*D1365)*TAN(RADIANS(B1365)))/(C1365*D1365*SIN(RADIANS(E1365))*COS(RADIANS(E1365)))</f>
        <v>1.41450369631036</v>
      </c>
    </row>
    <row r="1366" customFormat="false" ht="15" hidden="false" customHeight="false" outlineLevel="0" collapsed="false">
      <c r="A1366" s="0" t="n">
        <v>14.145</v>
      </c>
      <c r="B1366" s="0" t="n">
        <v>37.482</v>
      </c>
      <c r="C1366" s="0" t="n">
        <v>21.076</v>
      </c>
      <c r="D1366" s="0" t="n">
        <v>14.3</v>
      </c>
      <c r="E1366" s="0" t="n">
        <v>29.416</v>
      </c>
      <c r="F1366" s="0" t="n">
        <v>0.2079</v>
      </c>
      <c r="G1366" s="12" t="n">
        <f aca="false">(A1366+(C1366*D1366*COS(RADIANS(E1366))^2-F1366*C1366*D1366)*TAN(RADIANS(B1366)))/(C1366*D1366*SIN(RADIANS(E1366))*COS(RADIANS(E1366)))</f>
        <v>1.09707756250834</v>
      </c>
    </row>
    <row r="1367" customFormat="false" ht="15" hidden="false" customHeight="false" outlineLevel="0" collapsed="false">
      <c r="A1367" s="0" t="n">
        <v>11.808</v>
      </c>
      <c r="B1367" s="0" t="n">
        <v>34.659</v>
      </c>
      <c r="C1367" s="0" t="n">
        <v>19.257</v>
      </c>
      <c r="D1367" s="0" t="n">
        <v>14.883</v>
      </c>
      <c r="E1367" s="0" t="n">
        <v>28.679</v>
      </c>
      <c r="F1367" s="0" t="n">
        <v>0.2568</v>
      </c>
      <c r="G1367" s="12" t="n">
        <f aca="false">(A1367+(C1367*D1367*COS(RADIANS(E1367))^2-F1367*C1367*D1367)*TAN(RADIANS(B1367)))/(C1367*D1367*SIN(RADIANS(E1367))*COS(RADIANS(E1367)))</f>
        <v>0.940083340914863</v>
      </c>
    </row>
    <row r="1368" customFormat="false" ht="15" hidden="false" customHeight="false" outlineLevel="0" collapsed="false">
      <c r="A1368" s="0" t="n">
        <v>16.711</v>
      </c>
      <c r="B1368" s="0" t="n">
        <v>39.266</v>
      </c>
      <c r="C1368" s="0" t="n">
        <v>19.78</v>
      </c>
      <c r="D1368" s="0" t="n">
        <v>12.318</v>
      </c>
      <c r="E1368" s="0" t="n">
        <v>26.381</v>
      </c>
      <c r="F1368" s="0" t="n">
        <v>0.0556</v>
      </c>
      <c r="G1368" s="12" t="n">
        <f aca="false">(A1368+(C1368*D1368*COS(RADIANS(E1368))^2-F1368*C1368*D1368)*TAN(RADIANS(B1368)))/(C1368*D1368*SIN(RADIANS(E1368))*COS(RADIANS(E1368)))</f>
        <v>1.70632920474309</v>
      </c>
    </row>
    <row r="1369" customFormat="false" ht="15" hidden="false" customHeight="false" outlineLevel="0" collapsed="false">
      <c r="A1369" s="0" t="n">
        <v>16.756</v>
      </c>
      <c r="B1369" s="0" t="n">
        <v>32.26</v>
      </c>
      <c r="C1369" s="0" t="n">
        <v>19.092</v>
      </c>
      <c r="D1369" s="0" t="n">
        <v>16.939</v>
      </c>
      <c r="E1369" s="0" t="n">
        <v>31.679</v>
      </c>
      <c r="F1369" s="0" t="n">
        <v>0.0692</v>
      </c>
      <c r="G1369" s="12" t="n">
        <f aca="false">(A1369+(C1369*D1369*COS(RADIANS(E1369))^2-F1369*C1369*D1369)*TAN(RADIANS(B1369)))/(C1369*D1369*SIN(RADIANS(E1369))*COS(RADIANS(E1369)))</f>
        <v>1.04103222296967</v>
      </c>
    </row>
    <row r="1370" customFormat="false" ht="15" hidden="false" customHeight="false" outlineLevel="0" collapsed="false">
      <c r="A1370" s="0" t="n">
        <v>12.893</v>
      </c>
      <c r="B1370" s="0" t="n">
        <v>39.065</v>
      </c>
      <c r="C1370" s="0" t="n">
        <v>20.511</v>
      </c>
      <c r="D1370" s="0" t="n">
        <v>10.488</v>
      </c>
      <c r="E1370" s="0" t="n">
        <v>27.741</v>
      </c>
      <c r="F1370" s="0" t="n">
        <v>0.2409</v>
      </c>
      <c r="G1370" s="12" t="n">
        <f aca="false">(A1370+(C1370*D1370*COS(RADIANS(E1370))^2-F1370*C1370*D1370)*TAN(RADIANS(B1370)))/(C1370*D1370*SIN(RADIANS(E1370))*COS(RADIANS(E1370)))</f>
        <v>1.21417153123308</v>
      </c>
    </row>
    <row r="1371" customFormat="false" ht="15" hidden="false" customHeight="false" outlineLevel="0" collapsed="false">
      <c r="A1371" s="0" t="n">
        <v>10.87</v>
      </c>
      <c r="B1371" s="0" t="n">
        <v>32.466</v>
      </c>
      <c r="C1371" s="0" t="n">
        <v>20.254</v>
      </c>
      <c r="D1371" s="0" t="n">
        <v>17.649</v>
      </c>
      <c r="E1371" s="0" t="n">
        <v>26.705</v>
      </c>
      <c r="F1371" s="0" t="n">
        <v>0.1498</v>
      </c>
      <c r="G1371" s="12" t="n">
        <f aca="false">(A1371+(C1371*D1371*COS(RADIANS(E1371))^2-F1371*C1371*D1371)*TAN(RADIANS(B1371)))/(C1371*D1371*SIN(RADIANS(E1371))*COS(RADIANS(E1371)))</f>
        <v>1.10308189722837</v>
      </c>
    </row>
    <row r="1372" customFormat="false" ht="15" hidden="false" customHeight="false" outlineLevel="0" collapsed="false">
      <c r="A1372" s="0" t="n">
        <v>24.239</v>
      </c>
      <c r="B1372" s="0" t="n">
        <v>36.432</v>
      </c>
      <c r="C1372" s="0" t="n">
        <v>20.593</v>
      </c>
      <c r="D1372" s="0" t="n">
        <v>15.218</v>
      </c>
      <c r="E1372" s="0" t="n">
        <v>27.005</v>
      </c>
      <c r="F1372" s="0" t="n">
        <v>0.1277</v>
      </c>
      <c r="G1372" s="12" t="n">
        <f aca="false">(A1372+(C1372*D1372*COS(RADIANS(E1372))^2-F1372*C1372*D1372)*TAN(RADIANS(B1372)))/(C1372*D1372*SIN(RADIANS(E1372))*COS(RADIANS(E1372)))</f>
        <v>1.4065360854292</v>
      </c>
    </row>
    <row r="1373" customFormat="false" ht="15" hidden="false" customHeight="false" outlineLevel="0" collapsed="false">
      <c r="A1373" s="0" t="n">
        <v>16.307</v>
      </c>
      <c r="B1373" s="0" t="n">
        <v>35.63</v>
      </c>
      <c r="C1373" s="0" t="n">
        <v>18.699</v>
      </c>
      <c r="D1373" s="0" t="n">
        <v>11.862</v>
      </c>
      <c r="E1373" s="0" t="n">
        <v>26.079</v>
      </c>
      <c r="F1373" s="0" t="n">
        <v>0.1385</v>
      </c>
      <c r="G1373" s="12" t="n">
        <f aca="false">(A1373+(C1373*D1373*COS(RADIANS(E1373))^2-F1373*C1373*D1373)*TAN(RADIANS(B1373)))/(C1373*D1373*SIN(RADIANS(E1373))*COS(RADIANS(E1373)))</f>
        <v>1.39916245996245</v>
      </c>
    </row>
    <row r="1374" customFormat="false" ht="15" hidden="false" customHeight="false" outlineLevel="0" collapsed="false">
      <c r="A1374" s="0" t="n">
        <v>12.071</v>
      </c>
      <c r="B1374" s="0" t="n">
        <v>38.529</v>
      </c>
      <c r="C1374" s="0" t="n">
        <v>20.929</v>
      </c>
      <c r="D1374" s="0" t="n">
        <v>11.896</v>
      </c>
      <c r="E1374" s="0" t="n">
        <v>26.949</v>
      </c>
      <c r="F1374" s="0" t="n">
        <v>0.2349</v>
      </c>
      <c r="G1374" s="12" t="n">
        <f aca="false">(A1374+(C1374*D1374*COS(RADIANS(E1374))^2-F1374*C1374*D1374)*TAN(RADIANS(B1374)))/(C1374*D1374*SIN(RADIANS(E1374))*COS(RADIANS(E1374)))</f>
        <v>1.22321838968011</v>
      </c>
    </row>
    <row r="1375" customFormat="false" ht="15" hidden="false" customHeight="false" outlineLevel="0" collapsed="false">
      <c r="A1375" s="0" t="n">
        <v>18.664</v>
      </c>
      <c r="B1375" s="0" t="n">
        <v>39.419</v>
      </c>
      <c r="C1375" s="0" t="n">
        <v>18.92</v>
      </c>
      <c r="D1375" s="0" t="n">
        <v>12.149</v>
      </c>
      <c r="E1375" s="0" t="n">
        <v>28.855</v>
      </c>
      <c r="F1375" s="0" t="n">
        <v>0.0701</v>
      </c>
      <c r="G1375" s="12" t="n">
        <f aca="false">(A1375+(C1375*D1375*COS(RADIANS(E1375))^2-F1375*C1375*D1375)*TAN(RADIANS(B1375)))/(C1375*D1375*SIN(RADIANS(E1375))*COS(RADIANS(E1375)))</f>
        <v>1.54753667710913</v>
      </c>
    </row>
    <row r="1376" customFormat="false" ht="15" hidden="false" customHeight="false" outlineLevel="0" collapsed="false">
      <c r="A1376" s="0" t="n">
        <v>14.563</v>
      </c>
      <c r="B1376" s="0" t="n">
        <v>31.949</v>
      </c>
      <c r="C1376" s="0" t="n">
        <v>20.633</v>
      </c>
      <c r="D1376" s="0" t="n">
        <v>16.258</v>
      </c>
      <c r="E1376" s="0" t="n">
        <v>28.955</v>
      </c>
      <c r="F1376" s="0" t="n">
        <v>0.0714</v>
      </c>
      <c r="G1376" s="12" t="n">
        <f aca="false">(A1376+(C1376*D1376*COS(RADIANS(E1376))^2-F1376*C1376*D1376)*TAN(RADIANS(B1376)))/(C1376*D1376*SIN(RADIANS(E1376))*COS(RADIANS(E1376)))</f>
        <v>1.12451916558919</v>
      </c>
    </row>
    <row r="1377" customFormat="false" ht="15" hidden="false" customHeight="false" outlineLevel="0" collapsed="false">
      <c r="A1377" s="0" t="n">
        <v>13.988</v>
      </c>
      <c r="B1377" s="0" t="n">
        <v>28.069</v>
      </c>
      <c r="C1377" s="0" t="n">
        <v>21.124</v>
      </c>
      <c r="D1377" s="0" t="n">
        <v>13.427</v>
      </c>
      <c r="E1377" s="0" t="n">
        <v>32.917</v>
      </c>
      <c r="F1377" s="0" t="n">
        <v>0.2659</v>
      </c>
      <c r="G1377" s="12" t="n">
        <f aca="false">(A1377+(C1377*D1377*COS(RADIANS(E1377))^2-F1377*C1377*D1377)*TAN(RADIANS(B1377)))/(C1377*D1377*SIN(RADIANS(E1377))*COS(RADIANS(E1377)))</f>
        <v>0.621035392795805</v>
      </c>
    </row>
    <row r="1378" customFormat="false" ht="15" hidden="false" customHeight="false" outlineLevel="0" collapsed="false">
      <c r="A1378" s="0" t="n">
        <v>17.249</v>
      </c>
      <c r="B1378" s="0" t="n">
        <v>34.36</v>
      </c>
      <c r="C1378" s="0" t="n">
        <v>19.427</v>
      </c>
      <c r="D1378" s="0" t="n">
        <v>12.267</v>
      </c>
      <c r="E1378" s="0" t="n">
        <v>27.796</v>
      </c>
      <c r="F1378" s="0" t="n">
        <v>0.1683</v>
      </c>
      <c r="G1378" s="12" t="n">
        <f aca="false">(A1378+(C1378*D1378*COS(RADIANS(E1378))^2-F1378*C1378*D1378)*TAN(RADIANS(B1378)))/(C1378*D1378*SIN(RADIANS(E1378))*COS(RADIANS(E1378)))</f>
        <v>1.19347793991336</v>
      </c>
    </row>
    <row r="1379" customFormat="false" ht="15" hidden="false" customHeight="false" outlineLevel="0" collapsed="false">
      <c r="A1379" s="0" t="n">
        <v>9.832</v>
      </c>
      <c r="B1379" s="0" t="n">
        <v>36.163</v>
      </c>
      <c r="C1379" s="0" t="n">
        <v>20.159</v>
      </c>
      <c r="D1379" s="0" t="n">
        <v>15.922</v>
      </c>
      <c r="E1379" s="0" t="n">
        <v>25.394</v>
      </c>
      <c r="F1379" s="0" t="n">
        <v>0.2029</v>
      </c>
      <c r="G1379" s="12" t="n">
        <f aca="false">(A1379+(C1379*D1379*COS(RADIANS(E1379))^2-F1379*C1379*D1379)*TAN(RADIANS(B1379)))/(C1379*D1379*SIN(RADIANS(E1379))*COS(RADIANS(E1379)))</f>
        <v>1.23595298150394</v>
      </c>
    </row>
    <row r="1380" customFormat="false" ht="15" hidden="false" customHeight="false" outlineLevel="0" collapsed="false">
      <c r="A1380" s="0" t="n">
        <v>16.411</v>
      </c>
      <c r="B1380" s="0" t="n">
        <v>34.959</v>
      </c>
      <c r="C1380" s="0" t="n">
        <v>19.734</v>
      </c>
      <c r="D1380" s="0" t="n">
        <v>18.435</v>
      </c>
      <c r="E1380" s="0" t="n">
        <v>27.889</v>
      </c>
      <c r="F1380" s="0" t="n">
        <v>0.054</v>
      </c>
      <c r="G1380" s="12" t="n">
        <f aca="false">(A1380+(C1380*D1380*COS(RADIANS(E1380))^2-F1380*C1380*D1380)*TAN(RADIANS(B1380)))/(C1380*D1380*SIN(RADIANS(E1380))*COS(RADIANS(E1380)))</f>
        <v>1.33885638001148</v>
      </c>
    </row>
    <row r="1381" customFormat="false" ht="15" hidden="false" customHeight="false" outlineLevel="0" collapsed="false">
      <c r="A1381" s="0" t="n">
        <v>22.652</v>
      </c>
      <c r="B1381" s="0" t="n">
        <v>43.722</v>
      </c>
      <c r="C1381" s="0" t="n">
        <v>17.48</v>
      </c>
      <c r="D1381" s="0" t="n">
        <v>20.807</v>
      </c>
      <c r="E1381" s="0" t="n">
        <v>33.147</v>
      </c>
      <c r="F1381" s="0" t="n">
        <v>0.1934</v>
      </c>
      <c r="G1381" s="12" t="n">
        <f aca="false">(A1381+(C1381*D1381*COS(RADIANS(E1381))^2-F1381*C1381*D1381)*TAN(RADIANS(B1381)))/(C1381*D1381*SIN(RADIANS(E1381))*COS(RADIANS(E1381)))</f>
        <v>1.19645206356913</v>
      </c>
    </row>
    <row r="1382" customFormat="false" ht="15" hidden="false" customHeight="false" outlineLevel="0" collapsed="false">
      <c r="A1382" s="0" t="n">
        <v>16.865</v>
      </c>
      <c r="B1382" s="0" t="n">
        <v>36.629</v>
      </c>
      <c r="C1382" s="0" t="n">
        <v>20.822</v>
      </c>
      <c r="D1382" s="0" t="n">
        <v>15.691</v>
      </c>
      <c r="E1382" s="0" t="n">
        <v>29.066</v>
      </c>
      <c r="F1382" s="0" t="n">
        <v>0.0638</v>
      </c>
      <c r="G1382" s="12" t="n">
        <f aca="false">(A1382+(C1382*D1382*COS(RADIANS(E1382))^2-F1382*C1382*D1382)*TAN(RADIANS(B1382)))/(C1382*D1382*SIN(RADIANS(E1382))*COS(RADIANS(E1382)))</f>
        <v>1.34744619809904</v>
      </c>
    </row>
    <row r="1383" customFormat="false" ht="15" hidden="false" customHeight="false" outlineLevel="0" collapsed="false">
      <c r="A1383" s="0" t="n">
        <v>13.495</v>
      </c>
      <c r="B1383" s="0" t="n">
        <v>36.619</v>
      </c>
      <c r="C1383" s="0" t="n">
        <v>19.578</v>
      </c>
      <c r="D1383" s="0" t="n">
        <v>17.882</v>
      </c>
      <c r="E1383" s="0" t="n">
        <v>27.021</v>
      </c>
      <c r="F1383" s="0" t="n">
        <v>0.2834</v>
      </c>
      <c r="G1383" s="12" t="n">
        <f aca="false">(A1383+(C1383*D1383*COS(RADIANS(E1383))^2-F1383*C1383*D1383)*TAN(RADIANS(B1383)))/(C1383*D1383*SIN(RADIANS(E1383))*COS(RADIANS(E1383)))</f>
        <v>1.03209735975815</v>
      </c>
    </row>
    <row r="1384" customFormat="false" ht="15" hidden="false" customHeight="false" outlineLevel="0" collapsed="false">
      <c r="A1384" s="0" t="n">
        <v>12.972</v>
      </c>
      <c r="B1384" s="0" t="n">
        <v>31.097</v>
      </c>
      <c r="C1384" s="0" t="n">
        <v>19.82</v>
      </c>
      <c r="D1384" s="0" t="n">
        <v>17.663</v>
      </c>
      <c r="E1384" s="0" t="n">
        <v>27.708</v>
      </c>
      <c r="F1384" s="0" t="n">
        <v>0.1319</v>
      </c>
      <c r="G1384" s="12" t="n">
        <f aca="false">(A1384+(C1384*D1384*COS(RADIANS(E1384))^2-F1384*C1384*D1384)*TAN(RADIANS(B1384)))/(C1384*D1384*SIN(RADIANS(E1384))*COS(RADIANS(E1384)))</f>
        <v>1.04522246394157</v>
      </c>
    </row>
    <row r="1385" customFormat="false" ht="15" hidden="false" customHeight="false" outlineLevel="0" collapsed="false">
      <c r="A1385" s="0" t="n">
        <v>13.359</v>
      </c>
      <c r="B1385" s="0" t="n">
        <v>33.349</v>
      </c>
      <c r="C1385" s="0" t="n">
        <v>21.058</v>
      </c>
      <c r="D1385" s="0" t="n">
        <v>19.466</v>
      </c>
      <c r="E1385" s="0" t="n">
        <v>28.166</v>
      </c>
      <c r="F1385" s="0" t="n">
        <v>0.2292</v>
      </c>
      <c r="G1385" s="12" t="n">
        <f aca="false">(A1385+(C1385*D1385*COS(RADIANS(E1385))^2-F1385*C1385*D1385)*TAN(RADIANS(B1385)))/(C1385*D1385*SIN(RADIANS(E1385))*COS(RADIANS(E1385)))</f>
        <v>0.944947821288386</v>
      </c>
    </row>
    <row r="1386" customFormat="false" ht="15" hidden="false" customHeight="false" outlineLevel="0" collapsed="false">
      <c r="A1386" s="0" t="n">
        <v>13.984</v>
      </c>
      <c r="B1386" s="0" t="n">
        <v>36.424</v>
      </c>
      <c r="C1386" s="0" t="n">
        <v>19.789</v>
      </c>
      <c r="D1386" s="0" t="n">
        <v>16.673</v>
      </c>
      <c r="E1386" s="0" t="n">
        <v>30.09</v>
      </c>
      <c r="F1386" s="0" t="n">
        <v>0.14</v>
      </c>
      <c r="G1386" s="12" t="n">
        <f aca="false">(A1386+(C1386*D1386*COS(RADIANS(E1386))^2-F1386*C1386*D1386)*TAN(RADIANS(B1386)))/(C1386*D1386*SIN(RADIANS(E1386))*COS(RADIANS(E1386)))</f>
        <v>1.13302989945651</v>
      </c>
    </row>
    <row r="1387" customFormat="false" ht="15" hidden="false" customHeight="false" outlineLevel="0" collapsed="false">
      <c r="A1387" s="0" t="n">
        <v>13.489</v>
      </c>
      <c r="B1387" s="0" t="n">
        <v>35.936</v>
      </c>
      <c r="C1387" s="0" t="n">
        <v>20.121</v>
      </c>
      <c r="D1387" s="0" t="n">
        <v>10.862</v>
      </c>
      <c r="E1387" s="0" t="n">
        <v>28.597</v>
      </c>
      <c r="F1387" s="0" t="n">
        <v>0.2145</v>
      </c>
      <c r="G1387" s="12" t="n">
        <f aca="false">(A1387+(C1387*D1387*COS(RADIANS(E1387))^2-F1387*C1387*D1387)*TAN(RADIANS(B1387)))/(C1387*D1387*SIN(RADIANS(E1387))*COS(RADIANS(E1387)))</f>
        <v>1.1065124220678</v>
      </c>
    </row>
    <row r="1388" customFormat="false" ht="15" hidden="false" customHeight="false" outlineLevel="0" collapsed="false">
      <c r="A1388" s="0" t="n">
        <v>18.665</v>
      </c>
      <c r="B1388" s="0" t="n">
        <v>35.201</v>
      </c>
      <c r="C1388" s="0" t="n">
        <v>22.052</v>
      </c>
      <c r="D1388" s="0" t="n">
        <v>18.859</v>
      </c>
      <c r="E1388" s="0" t="n">
        <v>28.195</v>
      </c>
      <c r="F1388" s="0" t="n">
        <v>0.1494</v>
      </c>
      <c r="G1388" s="12" t="n">
        <f aca="false">(A1388+(C1388*D1388*COS(RADIANS(E1388))^2-F1388*C1388*D1388)*TAN(RADIANS(B1388)))/(C1388*D1388*SIN(RADIANS(E1388))*COS(RADIANS(E1388)))</f>
        <v>1.17061147076242</v>
      </c>
    </row>
    <row r="1389" customFormat="false" ht="15" hidden="false" customHeight="false" outlineLevel="0" collapsed="false">
      <c r="A1389" s="0" t="n">
        <v>8.067</v>
      </c>
      <c r="B1389" s="0" t="n">
        <v>38.777</v>
      </c>
      <c r="C1389" s="0" t="n">
        <v>20.758</v>
      </c>
      <c r="D1389" s="0" t="n">
        <v>16.33</v>
      </c>
      <c r="E1389" s="0" t="n">
        <v>31.48</v>
      </c>
      <c r="F1389" s="0" t="n">
        <v>0.1757</v>
      </c>
      <c r="G1389" s="12" t="n">
        <f aca="false">(A1389+(C1389*D1389*COS(RADIANS(E1389))^2-F1389*C1389*D1389)*TAN(RADIANS(B1389)))/(C1389*D1389*SIN(RADIANS(E1389))*COS(RADIANS(E1389)))</f>
        <v>1.04848299279399</v>
      </c>
    </row>
    <row r="1390" customFormat="false" ht="15" hidden="false" customHeight="false" outlineLevel="0" collapsed="false">
      <c r="A1390" s="0" t="n">
        <v>18.448</v>
      </c>
      <c r="B1390" s="0" t="n">
        <v>32.965</v>
      </c>
      <c r="C1390" s="0" t="n">
        <v>20.56</v>
      </c>
      <c r="D1390" s="0" t="n">
        <v>17.808</v>
      </c>
      <c r="E1390" s="0" t="n">
        <v>30.491</v>
      </c>
      <c r="F1390" s="0" t="n">
        <v>0.205</v>
      </c>
      <c r="G1390" s="12" t="n">
        <f aca="false">(A1390+(C1390*D1390*COS(RADIANS(E1390))^2-F1390*C1390*D1390)*TAN(RADIANS(B1390)))/(C1390*D1390*SIN(RADIANS(E1390))*COS(RADIANS(E1390)))</f>
        <v>0.912563386789509</v>
      </c>
    </row>
    <row r="1391" customFormat="false" ht="15" hidden="false" customHeight="false" outlineLevel="0" collapsed="false">
      <c r="A1391" s="0" t="n">
        <v>13.481</v>
      </c>
      <c r="B1391" s="0" t="n">
        <v>36.265</v>
      </c>
      <c r="C1391" s="0" t="n">
        <v>19.896</v>
      </c>
      <c r="D1391" s="0" t="n">
        <v>13.332</v>
      </c>
      <c r="E1391" s="0" t="n">
        <v>24.802</v>
      </c>
      <c r="F1391" s="0" t="n">
        <v>0.1141</v>
      </c>
      <c r="G1391" s="12" t="n">
        <f aca="false">(A1391+(C1391*D1391*COS(RADIANS(E1391))^2-F1391*C1391*D1391)*TAN(RADIANS(B1391)))/(C1391*D1391*SIN(RADIANS(E1391))*COS(RADIANS(E1391)))</f>
        <v>1.50122361096067</v>
      </c>
    </row>
    <row r="1392" customFormat="false" ht="15" hidden="false" customHeight="false" outlineLevel="0" collapsed="false">
      <c r="A1392" s="0" t="n">
        <v>16.508</v>
      </c>
      <c r="B1392" s="0" t="n">
        <v>33.044</v>
      </c>
      <c r="C1392" s="0" t="n">
        <v>20.639</v>
      </c>
      <c r="D1392" s="0" t="n">
        <v>12.491</v>
      </c>
      <c r="E1392" s="0" t="n">
        <v>28.596</v>
      </c>
      <c r="F1392" s="0" t="n">
        <v>0.0719</v>
      </c>
      <c r="G1392" s="12" t="n">
        <f aca="false">(A1392+(C1392*D1392*COS(RADIANS(E1392))^2-F1392*C1392*D1392)*TAN(RADIANS(B1392)))/(C1392*D1392*SIN(RADIANS(E1392))*COS(RADIANS(E1392)))</f>
        <v>1.23437730310989</v>
      </c>
    </row>
    <row r="1393" customFormat="false" ht="15" hidden="false" customHeight="false" outlineLevel="0" collapsed="false">
      <c r="A1393" s="0" t="n">
        <v>10.492</v>
      </c>
      <c r="B1393" s="0" t="n">
        <v>43.527</v>
      </c>
      <c r="C1393" s="0" t="n">
        <v>21.054</v>
      </c>
      <c r="D1393" s="0" t="n">
        <v>13.406</v>
      </c>
      <c r="E1393" s="0" t="n">
        <v>27.802</v>
      </c>
      <c r="F1393" s="0" t="n">
        <v>0.282</v>
      </c>
      <c r="G1393" s="12" t="n">
        <f aca="false">(A1393+(C1393*D1393*COS(RADIANS(E1393))^2-F1393*C1393*D1393)*TAN(RADIANS(B1393)))/(C1393*D1393*SIN(RADIANS(E1393))*COS(RADIANS(E1393)))</f>
        <v>1.24227859490805</v>
      </c>
    </row>
    <row r="1394" customFormat="false" ht="15" hidden="false" customHeight="false" outlineLevel="0" collapsed="false">
      <c r="A1394" s="0" t="n">
        <v>20.315</v>
      </c>
      <c r="B1394" s="0" t="n">
        <v>32.719</v>
      </c>
      <c r="C1394" s="0" t="n">
        <v>19.987</v>
      </c>
      <c r="D1394" s="0" t="n">
        <v>16.75</v>
      </c>
      <c r="E1394" s="0" t="n">
        <v>27.981</v>
      </c>
      <c r="F1394" s="0" t="n">
        <v>0.0897</v>
      </c>
      <c r="G1394" s="12" t="n">
        <f aca="false">(A1394+(C1394*D1394*COS(RADIANS(E1394))^2-F1394*C1394*D1394)*TAN(RADIANS(B1394)))/(C1394*D1394*SIN(RADIANS(E1394))*COS(RADIANS(E1394)))</f>
        <v>1.2166211488945</v>
      </c>
    </row>
    <row r="1395" customFormat="false" ht="15" hidden="false" customHeight="false" outlineLevel="0" collapsed="false">
      <c r="A1395" s="0" t="n">
        <v>19.983</v>
      </c>
      <c r="B1395" s="0" t="n">
        <v>41.25</v>
      </c>
      <c r="C1395" s="0" t="n">
        <v>18.776</v>
      </c>
      <c r="D1395" s="0" t="n">
        <v>15.805</v>
      </c>
      <c r="E1395" s="0" t="n">
        <v>25.625</v>
      </c>
      <c r="F1395" s="0" t="n">
        <v>0.0789</v>
      </c>
      <c r="G1395" s="12" t="n">
        <f aca="false">(A1395+(C1395*D1395*COS(RADIANS(E1395))^2-F1395*C1395*D1395)*TAN(RADIANS(B1395)))/(C1395*D1395*SIN(RADIANS(E1395))*COS(RADIANS(E1395)))</f>
        <v>1.8235862611468</v>
      </c>
    </row>
    <row r="1396" customFormat="false" ht="15" hidden="false" customHeight="false" outlineLevel="0" collapsed="false">
      <c r="A1396" s="0" t="n">
        <v>18.838</v>
      </c>
      <c r="B1396" s="0" t="n">
        <v>34.277</v>
      </c>
      <c r="C1396" s="0" t="n">
        <v>20.437</v>
      </c>
      <c r="D1396" s="0" t="n">
        <v>15.786</v>
      </c>
      <c r="E1396" s="0" t="n">
        <v>27.214</v>
      </c>
      <c r="F1396" s="0" t="n">
        <v>0.0938</v>
      </c>
      <c r="G1396" s="12" t="n">
        <f aca="false">(A1396+(C1396*D1396*COS(RADIANS(E1396))^2-F1396*C1396*D1396)*TAN(RADIANS(B1396)))/(C1396*D1396*SIN(RADIANS(E1396))*COS(RADIANS(E1396)))</f>
        <v>1.31176484729887</v>
      </c>
    </row>
    <row r="1397" customFormat="false" ht="15" hidden="false" customHeight="false" outlineLevel="0" collapsed="false">
      <c r="A1397" s="0" t="n">
        <v>8.941</v>
      </c>
      <c r="B1397" s="0" t="n">
        <v>33.069</v>
      </c>
      <c r="C1397" s="0" t="n">
        <v>20.866</v>
      </c>
      <c r="D1397" s="0" t="n">
        <v>13.035</v>
      </c>
      <c r="E1397" s="0" t="n">
        <v>28.103</v>
      </c>
      <c r="F1397" s="0" t="n">
        <v>0.2302</v>
      </c>
      <c r="G1397" s="12" t="n">
        <f aca="false">(A1397+(C1397*D1397*COS(RADIANS(E1397))^2-F1397*C1397*D1397)*TAN(RADIANS(B1397)))/(C1397*D1397*SIN(RADIANS(E1397))*COS(RADIANS(E1397)))</f>
        <v>0.937676897187184</v>
      </c>
    </row>
    <row r="1398" customFormat="false" ht="15" hidden="false" customHeight="false" outlineLevel="0" collapsed="false">
      <c r="A1398" s="0" t="n">
        <v>18.316</v>
      </c>
      <c r="B1398" s="0" t="n">
        <v>34.898</v>
      </c>
      <c r="C1398" s="0" t="n">
        <v>19.593</v>
      </c>
      <c r="D1398" s="0" t="n">
        <v>10.502</v>
      </c>
      <c r="E1398" s="0" t="n">
        <v>26.472</v>
      </c>
      <c r="F1398" s="0" t="n">
        <v>0.3371</v>
      </c>
      <c r="G1398" s="12" t="n">
        <f aca="false">(A1398+(C1398*D1398*COS(RADIANS(E1398))^2-F1398*C1398*D1398)*TAN(RADIANS(B1398)))/(C1398*D1398*SIN(RADIANS(E1398))*COS(RADIANS(E1398)))</f>
        <v>1.03457212392826</v>
      </c>
    </row>
    <row r="1399" customFormat="false" ht="15" hidden="false" customHeight="false" outlineLevel="0" collapsed="false">
      <c r="A1399" s="0" t="n">
        <v>16.619</v>
      </c>
      <c r="B1399" s="0" t="n">
        <v>31.585</v>
      </c>
      <c r="C1399" s="0" t="n">
        <v>19.699</v>
      </c>
      <c r="D1399" s="0" t="n">
        <v>18.168</v>
      </c>
      <c r="E1399" s="0" t="n">
        <v>31.752</v>
      </c>
      <c r="F1399" s="0" t="n">
        <v>0.3197</v>
      </c>
      <c r="G1399" s="12" t="n">
        <f aca="false">(A1399+(C1399*D1399*COS(RADIANS(E1399))^2-F1399*C1399*D1399)*TAN(RADIANS(B1399)))/(C1399*D1399*SIN(RADIANS(E1399))*COS(RADIANS(E1399)))</f>
        <v>0.658000259273245</v>
      </c>
    </row>
    <row r="1400" customFormat="false" ht="15" hidden="false" customHeight="false" outlineLevel="0" collapsed="false">
      <c r="A1400" s="0" t="n">
        <v>8.579</v>
      </c>
      <c r="B1400" s="0" t="n">
        <v>32.256</v>
      </c>
      <c r="C1400" s="0" t="n">
        <v>19.206</v>
      </c>
      <c r="D1400" s="0" t="n">
        <v>14.333</v>
      </c>
      <c r="E1400" s="0" t="n">
        <v>27.161</v>
      </c>
      <c r="F1400" s="0" t="n">
        <v>0.1999</v>
      </c>
      <c r="G1400" s="12" t="n">
        <f aca="false">(A1400+(C1400*D1400*COS(RADIANS(E1400))^2-F1400*C1400*D1400)*TAN(RADIANS(B1400)))/(C1400*D1400*SIN(RADIANS(E1400))*COS(RADIANS(E1400)))</f>
        <v>0.996163292454046</v>
      </c>
    </row>
    <row r="1401" customFormat="false" ht="15" hidden="false" customHeight="false" outlineLevel="0" collapsed="false">
      <c r="A1401" s="0" t="n">
        <v>14.903</v>
      </c>
      <c r="B1401" s="0" t="n">
        <v>39.917</v>
      </c>
      <c r="C1401" s="0" t="n">
        <v>20.854</v>
      </c>
      <c r="D1401" s="0" t="n">
        <v>9.276</v>
      </c>
      <c r="E1401" s="0" t="n">
        <v>30.336</v>
      </c>
      <c r="F1401" s="0" t="n">
        <v>0.012</v>
      </c>
      <c r="G1401" s="12" t="n">
        <f aca="false">(A1401+(C1401*D1401*COS(RADIANS(E1401))^2-F1401*C1401*D1401)*TAN(RADIANS(B1401)))/(C1401*D1401*SIN(RADIANS(E1401))*COS(RADIANS(E1401)))</f>
        <v>1.58336823571776</v>
      </c>
    </row>
    <row r="1402" customFormat="false" ht="15" hidden="false" customHeight="false" outlineLevel="0" collapsed="false">
      <c r="A1402" s="0" t="n">
        <v>16.458</v>
      </c>
      <c r="B1402" s="0" t="n">
        <v>36.378</v>
      </c>
      <c r="C1402" s="0" t="n">
        <v>19.646</v>
      </c>
      <c r="D1402" s="0" t="n">
        <v>14.204</v>
      </c>
      <c r="E1402" s="0" t="n">
        <v>29.893</v>
      </c>
      <c r="F1402" s="0" t="n">
        <v>0.1881</v>
      </c>
      <c r="G1402" s="12" t="n">
        <f aca="false">(A1402+(C1402*D1402*COS(RADIANS(E1402))^2-F1402*C1402*D1402)*TAN(RADIANS(B1402)))/(C1402*D1402*SIN(RADIANS(E1402))*COS(RADIANS(E1402)))</f>
        <v>1.09726988387678</v>
      </c>
    </row>
    <row r="1403" customFormat="false" ht="15" hidden="false" customHeight="false" outlineLevel="0" collapsed="false">
      <c r="A1403" s="0" t="n">
        <v>17.224</v>
      </c>
      <c r="B1403" s="0" t="n">
        <v>37.785</v>
      </c>
      <c r="C1403" s="0" t="n">
        <v>19.582</v>
      </c>
      <c r="D1403" s="0" t="n">
        <v>13.004</v>
      </c>
      <c r="E1403" s="0" t="n">
        <v>28.18</v>
      </c>
      <c r="F1403" s="0" t="n">
        <v>0.1649</v>
      </c>
      <c r="G1403" s="12" t="n">
        <f aca="false">(A1403+(C1403*D1403*COS(RADIANS(E1403))^2-F1403*C1403*D1403)*TAN(RADIANS(B1403)))/(C1403*D1403*SIN(RADIANS(E1403))*COS(RADIANS(E1403)))</f>
        <v>1.30244602404826</v>
      </c>
    </row>
    <row r="1404" customFormat="false" ht="15" hidden="false" customHeight="false" outlineLevel="0" collapsed="false">
      <c r="A1404" s="0" t="n">
        <v>15.709</v>
      </c>
      <c r="B1404" s="0" t="n">
        <v>33.613</v>
      </c>
      <c r="C1404" s="0" t="n">
        <v>19.674</v>
      </c>
      <c r="D1404" s="0" t="n">
        <v>20.247</v>
      </c>
      <c r="E1404" s="0" t="n">
        <v>28.937</v>
      </c>
      <c r="F1404" s="0" t="n">
        <v>0.1485</v>
      </c>
      <c r="G1404" s="12" t="n">
        <f aca="false">(A1404+(C1404*D1404*COS(RADIANS(E1404))^2-F1404*C1404*D1404)*TAN(RADIANS(B1404)))/(C1404*D1404*SIN(RADIANS(E1404))*COS(RADIANS(E1404)))</f>
        <v>1.0623268989321</v>
      </c>
    </row>
    <row r="1405" customFormat="false" ht="15" hidden="false" customHeight="false" outlineLevel="0" collapsed="false">
      <c r="A1405" s="0" t="n">
        <v>16.165</v>
      </c>
      <c r="B1405" s="0" t="n">
        <v>37.098</v>
      </c>
      <c r="C1405" s="0" t="n">
        <v>20.67</v>
      </c>
      <c r="D1405" s="0" t="n">
        <v>10.555</v>
      </c>
      <c r="E1405" s="0" t="n">
        <v>26.191</v>
      </c>
      <c r="F1405" s="0" t="n">
        <v>0.1294</v>
      </c>
      <c r="G1405" s="12" t="n">
        <f aca="false">(A1405+(C1405*D1405*COS(RADIANS(E1405))^2-F1405*C1405*D1405)*TAN(RADIANS(B1405)))/(C1405*D1405*SIN(RADIANS(E1405))*COS(RADIANS(E1405)))</f>
        <v>1.47748691795472</v>
      </c>
    </row>
    <row r="1406" customFormat="false" ht="15" hidden="false" customHeight="false" outlineLevel="0" collapsed="false">
      <c r="A1406" s="0" t="n">
        <v>20.894</v>
      </c>
      <c r="B1406" s="0" t="n">
        <v>35.433</v>
      </c>
      <c r="C1406" s="0" t="n">
        <v>20.808</v>
      </c>
      <c r="D1406" s="0" t="n">
        <v>19.431</v>
      </c>
      <c r="E1406" s="0" t="n">
        <v>29.779</v>
      </c>
      <c r="F1406" s="0" t="n">
        <v>0.0408</v>
      </c>
      <c r="G1406" s="12" t="n">
        <f aca="false">(A1406+(C1406*D1406*COS(RADIANS(E1406))^2-F1406*C1406*D1406)*TAN(RADIANS(B1406)))/(C1406*D1406*SIN(RADIANS(E1406))*COS(RADIANS(E1406)))</f>
        <v>1.29599357881122</v>
      </c>
    </row>
    <row r="1407" customFormat="false" ht="15" hidden="false" customHeight="false" outlineLevel="0" collapsed="false">
      <c r="A1407" s="0" t="n">
        <v>19.904</v>
      </c>
      <c r="B1407" s="0" t="n">
        <v>32.882</v>
      </c>
      <c r="C1407" s="0" t="n">
        <v>20.367</v>
      </c>
      <c r="D1407" s="0" t="n">
        <v>15.216</v>
      </c>
      <c r="E1407" s="0" t="n">
        <v>28.105</v>
      </c>
      <c r="F1407" s="0" t="n">
        <v>0.1258</v>
      </c>
      <c r="G1407" s="12" t="n">
        <f aca="false">(A1407+(C1407*D1407*COS(RADIANS(E1407))^2-F1407*C1407*D1407)*TAN(RADIANS(B1407)))/(C1407*D1407*SIN(RADIANS(E1407))*COS(RADIANS(E1407)))</f>
        <v>1.16934727157756</v>
      </c>
    </row>
    <row r="1408" customFormat="false" ht="15" hidden="false" customHeight="false" outlineLevel="0" collapsed="false">
      <c r="A1408" s="0" t="n">
        <v>3.532</v>
      </c>
      <c r="B1408" s="0" t="n">
        <v>44.544</v>
      </c>
      <c r="C1408" s="0" t="n">
        <v>19.906</v>
      </c>
      <c r="D1408" s="0" t="n">
        <v>15.221</v>
      </c>
      <c r="E1408" s="0" t="n">
        <v>26.77</v>
      </c>
      <c r="F1408" s="0" t="n">
        <v>0.193</v>
      </c>
      <c r="G1408" s="12" t="n">
        <f aca="false">(A1408+(C1408*D1408*COS(RADIANS(E1408))^2-F1408*C1408*D1408)*TAN(RADIANS(B1408)))/(C1408*D1408*SIN(RADIANS(E1408))*COS(RADIANS(E1408)))</f>
        <v>1.50756831426687</v>
      </c>
    </row>
    <row r="1409" customFormat="false" ht="15" hidden="false" customHeight="false" outlineLevel="0" collapsed="false">
      <c r="A1409" s="0" t="n">
        <v>13.73</v>
      </c>
      <c r="B1409" s="0" t="n">
        <v>30.832</v>
      </c>
      <c r="C1409" s="0" t="n">
        <v>19.423</v>
      </c>
      <c r="D1409" s="0" t="n">
        <v>16.816</v>
      </c>
      <c r="E1409" s="0" t="n">
        <v>28.204</v>
      </c>
      <c r="F1409" s="0" t="n">
        <v>0.1839</v>
      </c>
      <c r="G1409" s="12" t="n">
        <f aca="false">(A1409+(C1409*D1409*COS(RADIANS(E1409))^2-F1409*C1409*D1409)*TAN(RADIANS(B1409)))/(C1409*D1409*SIN(RADIANS(E1409))*COS(RADIANS(E1409)))</f>
        <v>0.95036991649731</v>
      </c>
    </row>
    <row r="1410" customFormat="false" ht="15" hidden="false" customHeight="false" outlineLevel="0" collapsed="false">
      <c r="A1410" s="0" t="n">
        <v>14.341</v>
      </c>
      <c r="B1410" s="0" t="n">
        <v>35.261</v>
      </c>
      <c r="C1410" s="0" t="n">
        <v>20.146</v>
      </c>
      <c r="D1410" s="0" t="n">
        <v>12.203</v>
      </c>
      <c r="E1410" s="0" t="n">
        <v>28.5</v>
      </c>
      <c r="F1410" s="0" t="n">
        <v>0.3198</v>
      </c>
      <c r="G1410" s="12" t="n">
        <f aca="false">(A1410+(C1410*D1410*COS(RADIANS(E1410))^2-F1410*C1410*D1410)*TAN(RADIANS(B1410)))/(C1410*D1410*SIN(RADIANS(E1410))*COS(RADIANS(E1410)))</f>
        <v>0.902079502479333</v>
      </c>
    </row>
    <row r="1411" customFormat="false" ht="15" hidden="false" customHeight="false" outlineLevel="0" collapsed="false">
      <c r="A1411" s="0" t="n">
        <v>7.992</v>
      </c>
      <c r="B1411" s="0" t="n">
        <v>36.687</v>
      </c>
      <c r="C1411" s="0" t="n">
        <v>19.907</v>
      </c>
      <c r="D1411" s="0" t="n">
        <v>18.836</v>
      </c>
      <c r="E1411" s="0" t="n">
        <v>29.036</v>
      </c>
      <c r="F1411" s="0" t="n">
        <v>0.083</v>
      </c>
      <c r="G1411" s="12" t="n">
        <f aca="false">(A1411+(C1411*D1411*COS(RADIANS(E1411))^2-F1411*C1411*D1411)*TAN(RADIANS(B1411)))/(C1411*D1411*SIN(RADIANS(E1411))*COS(RADIANS(E1411)))</f>
        <v>1.24657649700203</v>
      </c>
    </row>
    <row r="1412" customFormat="false" ht="15" hidden="false" customHeight="false" outlineLevel="0" collapsed="false">
      <c r="A1412" s="0" t="n">
        <v>15.377</v>
      </c>
      <c r="B1412" s="0" t="n">
        <v>35.937</v>
      </c>
      <c r="C1412" s="0" t="n">
        <v>20.867</v>
      </c>
      <c r="D1412" s="0" t="n">
        <v>18.036</v>
      </c>
      <c r="E1412" s="0" t="n">
        <v>24.441</v>
      </c>
      <c r="F1412" s="0" t="n">
        <v>0.1239</v>
      </c>
      <c r="G1412" s="12" t="n">
        <f aca="false">(A1412+(C1412*D1412*COS(RADIANS(E1412))^2-F1412*C1412*D1412)*TAN(RADIANS(B1412)))/(C1412*D1412*SIN(RADIANS(E1412))*COS(RADIANS(E1412)))</f>
        <v>1.46495877170534</v>
      </c>
    </row>
    <row r="1413" customFormat="false" ht="15" hidden="false" customHeight="false" outlineLevel="0" collapsed="false">
      <c r="A1413" s="0" t="n">
        <v>19.995</v>
      </c>
      <c r="B1413" s="0" t="n">
        <v>33.672</v>
      </c>
      <c r="C1413" s="0" t="n">
        <v>20.767</v>
      </c>
      <c r="D1413" s="0" t="n">
        <v>18.157</v>
      </c>
      <c r="E1413" s="0" t="n">
        <v>32.656</v>
      </c>
      <c r="F1413" s="0" t="n">
        <v>0.2961</v>
      </c>
      <c r="G1413" s="12" t="n">
        <f aca="false">(A1413+(C1413*D1413*COS(RADIANS(E1413))^2-F1413*C1413*D1413)*TAN(RADIANS(B1413)))/(C1413*D1413*SIN(RADIANS(E1413))*COS(RADIANS(E1413)))</f>
        <v>0.721990590532651</v>
      </c>
    </row>
    <row r="1414" customFormat="false" ht="15" hidden="false" customHeight="false" outlineLevel="0" collapsed="false">
      <c r="A1414" s="0" t="n">
        <v>10.654</v>
      </c>
      <c r="B1414" s="0" t="n">
        <v>33.074</v>
      </c>
      <c r="C1414" s="0" t="n">
        <v>20.667</v>
      </c>
      <c r="D1414" s="0" t="n">
        <v>17.644</v>
      </c>
      <c r="E1414" s="0" t="n">
        <v>30.101</v>
      </c>
      <c r="F1414" s="0" t="n">
        <v>0.1391</v>
      </c>
      <c r="G1414" s="12" t="n">
        <f aca="false">(A1414+(C1414*D1414*COS(RADIANS(E1414))^2-F1414*C1414*D1414)*TAN(RADIANS(B1414)))/(C1414*D1414*SIN(RADIANS(E1414))*COS(RADIANS(E1414)))</f>
        <v>0.981968656166694</v>
      </c>
    </row>
    <row r="1415" customFormat="false" ht="15" hidden="false" customHeight="false" outlineLevel="0" collapsed="false">
      <c r="A1415" s="0" t="n">
        <v>16.346</v>
      </c>
      <c r="B1415" s="0" t="n">
        <v>36.055</v>
      </c>
      <c r="C1415" s="0" t="n">
        <v>21.818</v>
      </c>
      <c r="D1415" s="0" t="n">
        <v>17.414</v>
      </c>
      <c r="E1415" s="0" t="n">
        <v>27.683</v>
      </c>
      <c r="F1415" s="0" t="n">
        <v>0.2487</v>
      </c>
      <c r="G1415" s="12" t="n">
        <f aca="false">(A1415+(C1415*D1415*COS(RADIANS(E1415))^2-F1415*C1415*D1415)*TAN(RADIANS(B1415)))/(C1415*D1415*SIN(RADIANS(E1415))*COS(RADIANS(E1415)))</f>
        <v>1.05213386219166</v>
      </c>
    </row>
    <row r="1416" customFormat="false" ht="15" hidden="false" customHeight="false" outlineLevel="0" collapsed="false">
      <c r="A1416" s="0" t="n">
        <v>11.337</v>
      </c>
      <c r="B1416" s="0" t="n">
        <v>32.809</v>
      </c>
      <c r="C1416" s="0" t="n">
        <v>22.36</v>
      </c>
      <c r="D1416" s="0" t="n">
        <v>15.151</v>
      </c>
      <c r="E1416" s="0" t="n">
        <v>29.701</v>
      </c>
      <c r="F1416" s="0" t="n">
        <v>0.1802</v>
      </c>
      <c r="G1416" s="12" t="n">
        <f aca="false">(A1416+(C1416*D1416*COS(RADIANS(E1416))^2-F1416*C1416*D1416)*TAN(RADIANS(B1416)))/(C1416*D1416*SIN(RADIANS(E1416))*COS(RADIANS(E1416)))</f>
        <v>0.938024768674303</v>
      </c>
    </row>
    <row r="1417" customFormat="false" ht="15" hidden="false" customHeight="false" outlineLevel="0" collapsed="false">
      <c r="A1417" s="0" t="n">
        <v>12.312</v>
      </c>
      <c r="B1417" s="0" t="n">
        <v>38.485</v>
      </c>
      <c r="C1417" s="0" t="n">
        <v>20.423</v>
      </c>
      <c r="D1417" s="0" t="n">
        <v>14.423</v>
      </c>
      <c r="E1417" s="0" t="n">
        <v>27.927</v>
      </c>
      <c r="F1417" s="0" t="n">
        <v>0.2426</v>
      </c>
      <c r="G1417" s="12" t="n">
        <f aca="false">(A1417+(C1417*D1417*COS(RADIANS(E1417))^2-F1417*C1417*D1417)*TAN(RADIANS(B1417)))/(C1417*D1417*SIN(RADIANS(E1417))*COS(RADIANS(E1417)))</f>
        <v>1.13472196912419</v>
      </c>
    </row>
    <row r="1418" customFormat="false" ht="15" hidden="false" customHeight="false" outlineLevel="0" collapsed="false">
      <c r="A1418" s="0" t="n">
        <v>20.91</v>
      </c>
      <c r="B1418" s="0" t="n">
        <v>35.72</v>
      </c>
      <c r="C1418" s="0" t="n">
        <v>20.39</v>
      </c>
      <c r="D1418" s="0" t="n">
        <v>17.518</v>
      </c>
      <c r="E1418" s="0" t="n">
        <v>27.307</v>
      </c>
      <c r="F1418" s="0" t="n">
        <v>0.1242</v>
      </c>
      <c r="G1418" s="12" t="n">
        <f aca="false">(A1418+(C1418*D1418*COS(RADIANS(E1418))^2-F1418*C1418*D1418)*TAN(RADIANS(B1418)))/(C1418*D1418*SIN(RADIANS(E1418))*COS(RADIANS(E1418)))</f>
        <v>1.31732714521106</v>
      </c>
    </row>
    <row r="1419" customFormat="false" ht="15" hidden="false" customHeight="false" outlineLevel="0" collapsed="false">
      <c r="A1419" s="0" t="n">
        <v>12.83</v>
      </c>
      <c r="B1419" s="0" t="n">
        <v>34.493</v>
      </c>
      <c r="C1419" s="0" t="n">
        <v>20.781</v>
      </c>
      <c r="D1419" s="0" t="n">
        <v>9.432</v>
      </c>
      <c r="E1419" s="0" t="n">
        <v>28.202</v>
      </c>
      <c r="F1419" s="0" t="n">
        <v>0.2537</v>
      </c>
      <c r="G1419" s="12" t="n">
        <f aca="false">(A1419+(C1419*D1419*COS(RADIANS(E1419))^2-F1419*C1419*D1419)*TAN(RADIANS(B1419)))/(C1419*D1419*SIN(RADIANS(E1419))*COS(RADIANS(E1419)))</f>
        <v>1.01994838646031</v>
      </c>
    </row>
    <row r="1420" customFormat="false" ht="15" hidden="false" customHeight="false" outlineLevel="0" collapsed="false">
      <c r="A1420" s="0" t="n">
        <v>16.849</v>
      </c>
      <c r="B1420" s="0" t="n">
        <v>35.378</v>
      </c>
      <c r="C1420" s="0" t="n">
        <v>21.71</v>
      </c>
      <c r="D1420" s="0" t="n">
        <v>10.064</v>
      </c>
      <c r="E1420" s="0" t="n">
        <v>30.528</v>
      </c>
      <c r="F1420" s="0" t="n">
        <v>0.1583</v>
      </c>
      <c r="G1420" s="12" t="n">
        <f aca="false">(A1420+(C1420*D1420*COS(RADIANS(E1420))^2-F1420*C1420*D1420)*TAN(RADIANS(B1420)))/(C1420*D1420*SIN(RADIANS(E1420))*COS(RADIANS(E1420)))</f>
        <v>1.12348382626791</v>
      </c>
    </row>
    <row r="1421" customFormat="false" ht="15" hidden="false" customHeight="false" outlineLevel="0" collapsed="false">
      <c r="A1421" s="0" t="n">
        <v>7.515</v>
      </c>
      <c r="B1421" s="0" t="n">
        <v>36.602</v>
      </c>
      <c r="C1421" s="0" t="n">
        <v>19.493</v>
      </c>
      <c r="D1421" s="0" t="n">
        <v>16.89</v>
      </c>
      <c r="E1421" s="0" t="n">
        <v>28.088</v>
      </c>
      <c r="F1421" s="0" t="n">
        <v>0.077</v>
      </c>
      <c r="G1421" s="12" t="n">
        <f aca="false">(A1421+(C1421*D1421*COS(RADIANS(E1421))^2-F1421*C1421*D1421)*TAN(RADIANS(B1421)))/(C1421*D1421*SIN(RADIANS(E1421))*COS(RADIANS(E1421)))</f>
        <v>1.30896215394673</v>
      </c>
    </row>
    <row r="1422" customFormat="false" ht="15" hidden="false" customHeight="false" outlineLevel="0" collapsed="false">
      <c r="A1422" s="0" t="n">
        <v>22.449</v>
      </c>
      <c r="B1422" s="0" t="n">
        <v>38.985</v>
      </c>
      <c r="C1422" s="0" t="n">
        <v>19.475</v>
      </c>
      <c r="D1422" s="0" t="n">
        <v>18.858</v>
      </c>
      <c r="E1422" s="0" t="n">
        <v>24.864</v>
      </c>
      <c r="F1422" s="0" t="n">
        <v>0.211</v>
      </c>
      <c r="G1422" s="12" t="n">
        <f aca="false">(A1422+(C1422*D1422*COS(RADIANS(E1422))^2-F1422*C1422*D1422)*TAN(RADIANS(B1422)))/(C1422*D1422*SIN(RADIANS(E1422))*COS(RADIANS(E1422)))</f>
        <v>1.45905240319076</v>
      </c>
    </row>
    <row r="1423" customFormat="false" ht="15" hidden="false" customHeight="false" outlineLevel="0" collapsed="false">
      <c r="A1423" s="0" t="n">
        <v>17.411</v>
      </c>
      <c r="B1423" s="0" t="n">
        <v>36.228</v>
      </c>
      <c r="C1423" s="0" t="n">
        <v>19.585</v>
      </c>
      <c r="D1423" s="0" t="n">
        <v>13.187</v>
      </c>
      <c r="E1423" s="0" t="n">
        <v>27.977</v>
      </c>
      <c r="F1423" s="0" t="n">
        <v>0.1213</v>
      </c>
      <c r="G1423" s="12" t="n">
        <f aca="false">(A1423+(C1423*D1423*COS(RADIANS(E1423))^2-F1423*C1423*D1423)*TAN(RADIANS(B1423)))/(C1423*D1423*SIN(RADIANS(E1423))*COS(RADIANS(E1423)))</f>
        <v>1.32744505113159</v>
      </c>
    </row>
    <row r="1424" customFormat="false" ht="15" hidden="false" customHeight="false" outlineLevel="0" collapsed="false">
      <c r="A1424" s="0" t="n">
        <v>14.27</v>
      </c>
      <c r="B1424" s="0" t="n">
        <v>35.634</v>
      </c>
      <c r="C1424" s="0" t="n">
        <v>21.274</v>
      </c>
      <c r="D1424" s="0" t="n">
        <v>12.066</v>
      </c>
      <c r="E1424" s="0" t="n">
        <v>25.706</v>
      </c>
      <c r="F1424" s="0" t="n">
        <v>0.1757</v>
      </c>
      <c r="G1424" s="12" t="n">
        <f aca="false">(A1424+(C1424*D1424*COS(RADIANS(E1424))^2-F1424*C1424*D1424)*TAN(RADIANS(B1424)))/(C1424*D1424*SIN(RADIANS(E1424))*COS(RADIANS(E1424)))</f>
        <v>1.30904308147145</v>
      </c>
    </row>
    <row r="1425" customFormat="false" ht="15" hidden="false" customHeight="false" outlineLevel="0" collapsed="false">
      <c r="A1425" s="0" t="n">
        <v>17.302</v>
      </c>
      <c r="B1425" s="0" t="n">
        <v>37.757</v>
      </c>
      <c r="C1425" s="0" t="n">
        <v>21.578</v>
      </c>
      <c r="D1425" s="0" t="n">
        <v>13.397</v>
      </c>
      <c r="E1425" s="0" t="n">
        <v>32.289</v>
      </c>
      <c r="F1425" s="0" t="n">
        <v>0.1786</v>
      </c>
      <c r="G1425" s="12" t="n">
        <f aca="false">(A1425+(C1425*D1425*COS(RADIANS(E1425))^2-F1425*C1425*D1425)*TAN(RADIANS(B1425)))/(C1425*D1425*SIN(RADIANS(E1425))*COS(RADIANS(E1425)))</f>
        <v>1.05185868317209</v>
      </c>
    </row>
    <row r="1426" customFormat="false" ht="15" hidden="false" customHeight="false" outlineLevel="0" collapsed="false">
      <c r="A1426" s="0" t="n">
        <v>9.361</v>
      </c>
      <c r="B1426" s="0" t="n">
        <v>30.748</v>
      </c>
      <c r="C1426" s="0" t="n">
        <v>19.466</v>
      </c>
      <c r="D1426" s="0" t="n">
        <v>19.118</v>
      </c>
      <c r="E1426" s="0" t="n">
        <v>29.731</v>
      </c>
      <c r="F1426" s="0" t="n">
        <v>0.1612</v>
      </c>
      <c r="G1426" s="12" t="n">
        <f aca="false">(A1426+(C1426*D1426*COS(RADIANS(E1426))^2-F1426*C1426*D1426)*TAN(RADIANS(B1426)))/(C1426*D1426*SIN(RADIANS(E1426))*COS(RADIANS(E1426)))</f>
        <v>0.877372983448983</v>
      </c>
    </row>
    <row r="1427" customFormat="false" ht="15" hidden="false" customHeight="false" outlineLevel="0" collapsed="false">
      <c r="A1427" s="0" t="n">
        <v>19.73</v>
      </c>
      <c r="B1427" s="0" t="n">
        <v>33.392</v>
      </c>
      <c r="C1427" s="0" t="n">
        <v>20.171</v>
      </c>
      <c r="D1427" s="0" t="n">
        <v>15.827</v>
      </c>
      <c r="E1427" s="0" t="n">
        <v>29.351</v>
      </c>
      <c r="F1427" s="0" t="n">
        <v>0.2149</v>
      </c>
      <c r="G1427" s="12" t="n">
        <f aca="false">(A1427+(C1427*D1427*COS(RADIANS(E1427))^2-F1427*C1427*D1427)*TAN(RADIANS(B1427)))/(C1427*D1427*SIN(RADIANS(E1427))*COS(RADIANS(E1427)))</f>
        <v>0.985284602857929</v>
      </c>
    </row>
    <row r="1428" customFormat="false" ht="15" hidden="false" customHeight="false" outlineLevel="0" collapsed="false">
      <c r="A1428" s="0" t="n">
        <v>13.704</v>
      </c>
      <c r="B1428" s="0" t="n">
        <v>34.561</v>
      </c>
      <c r="C1428" s="0" t="n">
        <v>21.878</v>
      </c>
      <c r="D1428" s="0" t="n">
        <v>14.882</v>
      </c>
      <c r="E1428" s="0" t="n">
        <v>30.103</v>
      </c>
      <c r="F1428" s="0" t="n">
        <v>0.1213</v>
      </c>
      <c r="G1428" s="12" t="n">
        <f aca="false">(A1428+(C1428*D1428*COS(RADIANS(E1428))^2-F1428*C1428*D1428)*TAN(RADIANS(B1428)))/(C1428*D1428*SIN(RADIANS(E1428))*COS(RADIANS(E1428)))</f>
        <v>1.0926172608116</v>
      </c>
    </row>
    <row r="1429" customFormat="false" ht="15" hidden="false" customHeight="false" outlineLevel="0" collapsed="false">
      <c r="A1429" s="0" t="n">
        <v>14.184</v>
      </c>
      <c r="B1429" s="0" t="n">
        <v>32.393</v>
      </c>
      <c r="C1429" s="0" t="n">
        <v>20.382</v>
      </c>
      <c r="D1429" s="0" t="n">
        <v>13.398</v>
      </c>
      <c r="E1429" s="0" t="n">
        <v>29.646</v>
      </c>
      <c r="F1429" s="0" t="n">
        <v>0.0164</v>
      </c>
      <c r="G1429" s="12" t="n">
        <f aca="false">(A1429+(C1429*D1429*COS(RADIANS(E1429))^2-F1429*C1429*D1429)*TAN(RADIANS(B1429)))/(C1429*D1429*SIN(RADIANS(E1429))*COS(RADIANS(E1429)))</f>
        <v>1.21136606681021</v>
      </c>
    </row>
    <row r="1430" customFormat="false" ht="15" hidden="false" customHeight="false" outlineLevel="0" collapsed="false">
      <c r="A1430" s="0" t="n">
        <v>13.033</v>
      </c>
      <c r="B1430" s="0" t="n">
        <v>37.2</v>
      </c>
      <c r="C1430" s="0" t="n">
        <v>20.076</v>
      </c>
      <c r="D1430" s="0" t="n">
        <v>19.375</v>
      </c>
      <c r="E1430" s="0" t="n">
        <v>27.494</v>
      </c>
      <c r="F1430" s="0" t="n">
        <v>0.0449</v>
      </c>
      <c r="G1430" s="12" t="n">
        <f aca="false">(A1430+(C1430*D1430*COS(RADIANS(E1430))^2-F1430*C1430*D1430)*TAN(RADIANS(B1430)))/(C1430*D1430*SIN(RADIANS(E1430))*COS(RADIANS(E1430)))</f>
        <v>1.45707423901599</v>
      </c>
    </row>
    <row r="1431" customFormat="false" ht="15" hidden="false" customHeight="false" outlineLevel="0" collapsed="false">
      <c r="A1431" s="0" t="n">
        <v>12.677</v>
      </c>
      <c r="B1431" s="0" t="n">
        <v>35.102</v>
      </c>
      <c r="C1431" s="0" t="n">
        <v>21.175</v>
      </c>
      <c r="D1431" s="0" t="n">
        <v>16.593</v>
      </c>
      <c r="E1431" s="0" t="n">
        <v>27.426</v>
      </c>
      <c r="F1431" s="0" t="n">
        <v>0.1578</v>
      </c>
      <c r="G1431" s="12" t="n">
        <f aca="false">(A1431+(C1431*D1431*COS(RADIANS(E1431))^2-F1431*C1431*D1431)*TAN(RADIANS(B1431)))/(C1431*D1431*SIN(RADIANS(E1431))*COS(RADIANS(E1431)))</f>
        <v>1.17142009615289</v>
      </c>
    </row>
    <row r="1432" customFormat="false" ht="15" hidden="false" customHeight="false" outlineLevel="0" collapsed="false">
      <c r="A1432" s="0" t="n">
        <v>17.779</v>
      </c>
      <c r="B1432" s="0" t="n">
        <v>31.627</v>
      </c>
      <c r="C1432" s="0" t="n">
        <v>19.517</v>
      </c>
      <c r="D1432" s="0" t="n">
        <v>19.15</v>
      </c>
      <c r="E1432" s="0" t="n">
        <v>26.85</v>
      </c>
      <c r="F1432" s="0" t="n">
        <v>0.2071</v>
      </c>
      <c r="G1432" s="12" t="n">
        <f aca="false">(A1432+(C1432*D1432*COS(RADIANS(E1432))^2-F1432*C1432*D1432)*TAN(RADIANS(B1432)))/(C1432*D1432*SIN(RADIANS(E1432))*COS(RADIANS(E1432)))</f>
        <v>1.01807959988416</v>
      </c>
    </row>
    <row r="1433" customFormat="false" ht="15" hidden="false" customHeight="false" outlineLevel="0" collapsed="false">
      <c r="A1433" s="0" t="n">
        <v>16.024</v>
      </c>
      <c r="B1433" s="0" t="n">
        <v>31.292</v>
      </c>
      <c r="C1433" s="0" t="n">
        <v>22.329</v>
      </c>
      <c r="D1433" s="0" t="n">
        <v>17.163</v>
      </c>
      <c r="E1433" s="0" t="n">
        <v>29.198</v>
      </c>
      <c r="F1433" s="0" t="n">
        <v>0.1281</v>
      </c>
      <c r="G1433" s="12" t="n">
        <f aca="false">(A1433+(C1433*D1433*COS(RADIANS(E1433))^2-F1433*C1433*D1433)*TAN(RADIANS(B1433)))/(C1433*D1433*SIN(RADIANS(E1433))*COS(RADIANS(E1433)))</f>
        <v>1.00299958387628</v>
      </c>
    </row>
    <row r="1434" customFormat="false" ht="15" hidden="false" customHeight="false" outlineLevel="0" collapsed="false">
      <c r="A1434" s="0" t="n">
        <v>17.607</v>
      </c>
      <c r="B1434" s="0" t="n">
        <v>34.991</v>
      </c>
      <c r="C1434" s="0" t="n">
        <v>21.725</v>
      </c>
      <c r="D1434" s="0" t="n">
        <v>14.973</v>
      </c>
      <c r="E1434" s="0" t="n">
        <v>29.593</v>
      </c>
      <c r="F1434" s="0" t="n">
        <v>0.1593</v>
      </c>
      <c r="G1434" s="12" t="n">
        <f aca="false">(A1434+(C1434*D1434*COS(RADIANS(E1434))^2-F1434*C1434*D1434)*TAN(RADIANS(B1434)))/(C1434*D1434*SIN(RADIANS(E1434))*COS(RADIANS(E1434)))</f>
        <v>1.09890748635237</v>
      </c>
    </row>
    <row r="1435" customFormat="false" ht="15" hidden="false" customHeight="false" outlineLevel="0" collapsed="false">
      <c r="A1435" s="0" t="n">
        <v>14.965</v>
      </c>
      <c r="B1435" s="0" t="n">
        <v>36.99</v>
      </c>
      <c r="C1435" s="0" t="n">
        <v>18.257</v>
      </c>
      <c r="D1435" s="0" t="n">
        <v>11.006</v>
      </c>
      <c r="E1435" s="0" t="n">
        <v>28.914</v>
      </c>
      <c r="F1435" s="0" t="n">
        <v>0.141</v>
      </c>
      <c r="G1435" s="12" t="n">
        <f aca="false">(A1435+(C1435*D1435*COS(RADIANS(E1435))^2-F1435*C1435*D1435)*TAN(RADIANS(B1435)))/(C1435*D1435*SIN(RADIANS(E1435))*COS(RADIANS(E1435)))</f>
        <v>1.28879095651549</v>
      </c>
    </row>
    <row r="1436" customFormat="false" ht="15" hidden="false" customHeight="false" outlineLevel="0" collapsed="false">
      <c r="A1436" s="0" t="n">
        <v>17.053</v>
      </c>
      <c r="B1436" s="0" t="n">
        <v>35.283</v>
      </c>
      <c r="C1436" s="0" t="n">
        <v>19.131</v>
      </c>
      <c r="D1436" s="0" t="n">
        <v>12.933</v>
      </c>
      <c r="E1436" s="0" t="n">
        <v>29.006</v>
      </c>
      <c r="F1436" s="0" t="n">
        <v>0.1642</v>
      </c>
      <c r="G1436" s="12" t="n">
        <f aca="false">(A1436+(C1436*D1436*COS(RADIANS(E1436))^2-F1436*C1436*D1436)*TAN(RADIANS(B1436)))/(C1436*D1436*SIN(RADIANS(E1436))*COS(RADIANS(E1436)))</f>
        <v>1.16476755936078</v>
      </c>
    </row>
    <row r="1437" customFormat="false" ht="15" hidden="false" customHeight="false" outlineLevel="0" collapsed="false">
      <c r="A1437" s="0" t="n">
        <v>13.325</v>
      </c>
      <c r="B1437" s="0" t="n">
        <v>42.814</v>
      </c>
      <c r="C1437" s="0" t="n">
        <v>19.752</v>
      </c>
      <c r="D1437" s="0" t="n">
        <v>12.705</v>
      </c>
      <c r="E1437" s="0" t="n">
        <v>25.761</v>
      </c>
      <c r="F1437" s="0" t="n">
        <v>0.0952</v>
      </c>
      <c r="G1437" s="12" t="n">
        <f aca="false">(A1437+(C1437*D1437*COS(RADIANS(E1437))^2-F1437*C1437*D1437)*TAN(RADIANS(B1437)))/(C1437*D1437*SIN(RADIANS(E1437))*COS(RADIANS(E1437)))</f>
        <v>1.83014173632534</v>
      </c>
    </row>
    <row r="1438" customFormat="false" ht="15" hidden="false" customHeight="false" outlineLevel="0" collapsed="false">
      <c r="A1438" s="0" t="n">
        <v>23.919</v>
      </c>
      <c r="B1438" s="0" t="n">
        <v>34.436</v>
      </c>
      <c r="C1438" s="0" t="n">
        <v>19.279</v>
      </c>
      <c r="D1438" s="0" t="n">
        <v>10.771</v>
      </c>
      <c r="E1438" s="0" t="n">
        <v>29.384</v>
      </c>
      <c r="F1438" s="0" t="n">
        <v>0.1674</v>
      </c>
      <c r="G1438" s="12" t="n">
        <f aca="false">(A1438+(C1438*D1438*COS(RADIANS(E1438))^2-F1438*C1438*D1438)*TAN(RADIANS(B1438)))/(C1438*D1438*SIN(RADIANS(E1438))*COS(RADIANS(E1438)))</f>
        <v>1.2185669279811</v>
      </c>
    </row>
    <row r="1439" customFormat="false" ht="15" hidden="false" customHeight="false" outlineLevel="0" collapsed="false">
      <c r="A1439" s="0" t="n">
        <v>8.728</v>
      </c>
      <c r="B1439" s="0" t="n">
        <v>33.259</v>
      </c>
      <c r="C1439" s="0" t="n">
        <v>18.698</v>
      </c>
      <c r="D1439" s="0" t="n">
        <v>23.409</v>
      </c>
      <c r="E1439" s="0" t="n">
        <v>25.927</v>
      </c>
      <c r="F1439" s="0" t="n">
        <v>0.1253</v>
      </c>
      <c r="G1439" s="12" t="n">
        <f aca="false">(A1439+(C1439*D1439*COS(RADIANS(E1439))^2-F1439*C1439*D1439)*TAN(RADIANS(B1439)))/(C1439*D1439*SIN(RADIANS(E1439))*COS(RADIANS(E1439)))</f>
        <v>1.19078071060864</v>
      </c>
    </row>
    <row r="1440" customFormat="false" ht="15" hidden="false" customHeight="false" outlineLevel="0" collapsed="false">
      <c r="A1440" s="0" t="n">
        <v>20.044</v>
      </c>
      <c r="B1440" s="0" t="n">
        <v>38.939</v>
      </c>
      <c r="C1440" s="0" t="n">
        <v>18.845</v>
      </c>
      <c r="D1440" s="0" t="n">
        <v>14.305</v>
      </c>
      <c r="E1440" s="0" t="n">
        <v>28.415</v>
      </c>
      <c r="F1440" s="0" t="n">
        <v>0.1873</v>
      </c>
      <c r="G1440" s="12" t="n">
        <f aca="false">(A1440+(C1440*D1440*COS(RADIANS(E1440))^2-F1440*C1440*D1440)*TAN(RADIANS(B1440)))/(C1440*D1440*SIN(RADIANS(E1440))*COS(RADIANS(E1440)))</f>
        <v>1.30951838481221</v>
      </c>
    </row>
    <row r="1441" customFormat="false" ht="15" hidden="false" customHeight="false" outlineLevel="0" collapsed="false">
      <c r="A1441" s="0" t="n">
        <v>20.472</v>
      </c>
      <c r="B1441" s="0" t="n">
        <v>35.99</v>
      </c>
      <c r="C1441" s="0" t="n">
        <v>19.635</v>
      </c>
      <c r="D1441" s="0" t="n">
        <v>12.814</v>
      </c>
      <c r="E1441" s="0" t="n">
        <v>26.207</v>
      </c>
      <c r="F1441" s="0" t="n">
        <v>0.1222</v>
      </c>
      <c r="G1441" s="12" t="n">
        <f aca="false">(A1441+(C1441*D1441*COS(RADIANS(E1441))^2-F1441*C1441*D1441)*TAN(RADIANS(B1441)))/(C1441*D1441*SIN(RADIANS(E1441))*COS(RADIANS(E1441)))</f>
        <v>1.4568947765645</v>
      </c>
    </row>
    <row r="1442" customFormat="false" ht="15" hidden="false" customHeight="false" outlineLevel="0" collapsed="false">
      <c r="A1442" s="0" t="n">
        <v>11.591</v>
      </c>
      <c r="B1442" s="0" t="n">
        <v>39.027</v>
      </c>
      <c r="C1442" s="0" t="n">
        <v>19.506</v>
      </c>
      <c r="D1442" s="0" t="n">
        <v>20.419</v>
      </c>
      <c r="E1442" s="0" t="n">
        <v>30.442</v>
      </c>
      <c r="F1442" s="0" t="n">
        <v>0.2548</v>
      </c>
      <c r="G1442" s="12" t="n">
        <f aca="false">(A1442+(C1442*D1442*COS(RADIANS(E1442))^2-F1442*C1442*D1442)*TAN(RADIANS(B1442)))/(C1442*D1442*SIN(RADIANS(E1442))*COS(RADIANS(E1442)))</f>
        <v>0.973068744733573</v>
      </c>
    </row>
    <row r="1443" customFormat="false" ht="15" hidden="false" customHeight="false" outlineLevel="0" collapsed="false">
      <c r="A1443" s="0" t="n">
        <v>23.917</v>
      </c>
      <c r="B1443" s="0" t="n">
        <v>39.296</v>
      </c>
      <c r="C1443" s="0" t="n">
        <v>21.206</v>
      </c>
      <c r="D1443" s="0" t="n">
        <v>16.076</v>
      </c>
      <c r="E1443" s="0" t="n">
        <v>29.675</v>
      </c>
      <c r="F1443" s="0" t="n">
        <v>0.1411</v>
      </c>
      <c r="G1443" s="12" t="n">
        <f aca="false">(A1443+(C1443*D1443*COS(RADIANS(E1443))^2-F1443*C1443*D1443)*TAN(RADIANS(B1443)))/(C1443*D1443*SIN(RADIANS(E1443))*COS(RADIANS(E1443)))</f>
        <v>1.33086901334676</v>
      </c>
    </row>
    <row r="1444" customFormat="false" ht="15" hidden="false" customHeight="false" outlineLevel="0" collapsed="false">
      <c r="A1444" s="0" t="n">
        <v>18.982</v>
      </c>
      <c r="B1444" s="0" t="n">
        <v>33.956</v>
      </c>
      <c r="C1444" s="0" t="n">
        <v>21.033</v>
      </c>
      <c r="D1444" s="0" t="n">
        <v>15.994</v>
      </c>
      <c r="E1444" s="0" t="n">
        <v>26.489</v>
      </c>
      <c r="F1444" s="0" t="n">
        <v>0.1471</v>
      </c>
      <c r="G1444" s="12" t="n">
        <f aca="false">(A1444+(C1444*D1444*COS(RADIANS(E1444))^2-F1444*C1444*D1444)*TAN(RADIANS(B1444)))/(C1444*D1444*SIN(RADIANS(E1444))*COS(RADIANS(E1444)))</f>
        <v>1.24447815384354</v>
      </c>
    </row>
    <row r="1445" customFormat="false" ht="15" hidden="false" customHeight="false" outlineLevel="0" collapsed="false">
      <c r="A1445" s="0" t="n">
        <v>18.885</v>
      </c>
      <c r="B1445" s="0" t="n">
        <v>33.238</v>
      </c>
      <c r="C1445" s="0" t="n">
        <v>20.11</v>
      </c>
      <c r="D1445" s="0" t="n">
        <v>14.568</v>
      </c>
      <c r="E1445" s="0" t="n">
        <v>24.637</v>
      </c>
      <c r="F1445" s="0" t="n">
        <v>0.3081</v>
      </c>
      <c r="G1445" s="12" t="n">
        <f aca="false">(A1445+(C1445*D1445*COS(RADIANS(E1445))^2-F1445*C1445*D1445)*TAN(RADIANS(B1445)))/(C1445*D1445*SIN(RADIANS(E1445))*COS(RADIANS(E1445)))</f>
        <v>1.06619617857419</v>
      </c>
    </row>
    <row r="1446" customFormat="false" ht="15" hidden="false" customHeight="false" outlineLevel="0" collapsed="false">
      <c r="A1446" s="0" t="n">
        <v>15.112</v>
      </c>
      <c r="B1446" s="0" t="n">
        <v>37.199</v>
      </c>
      <c r="C1446" s="0" t="n">
        <v>20.064</v>
      </c>
      <c r="D1446" s="0" t="n">
        <v>16.218</v>
      </c>
      <c r="E1446" s="0" t="n">
        <v>29.659</v>
      </c>
      <c r="F1446" s="0" t="n">
        <v>0.2376</v>
      </c>
      <c r="G1446" s="12" t="n">
        <f aca="false">(A1446+(C1446*D1446*COS(RADIANS(E1446))^2-F1446*C1446*D1446)*TAN(RADIANS(B1446)))/(C1446*D1446*SIN(RADIANS(E1446))*COS(RADIANS(E1446)))</f>
        <v>1.02151722471739</v>
      </c>
    </row>
    <row r="1447" customFormat="false" ht="15" hidden="false" customHeight="false" outlineLevel="0" collapsed="false">
      <c r="A1447" s="0" t="n">
        <v>14.131</v>
      </c>
      <c r="B1447" s="0" t="n">
        <v>32.576</v>
      </c>
      <c r="C1447" s="0" t="n">
        <v>19.271</v>
      </c>
      <c r="D1447" s="0" t="n">
        <v>12.973</v>
      </c>
      <c r="E1447" s="0" t="n">
        <v>27.552</v>
      </c>
      <c r="F1447" s="0" t="n">
        <v>0.054</v>
      </c>
      <c r="G1447" s="12" t="n">
        <f aca="false">(A1447+(C1447*D1447*COS(RADIANS(E1447))^2-F1447*C1447*D1447)*TAN(RADIANS(B1447)))/(C1447*D1447*SIN(RADIANS(E1447))*COS(RADIANS(E1447)))</f>
        <v>1.27836760320559</v>
      </c>
    </row>
    <row r="1448" customFormat="false" ht="15" hidden="false" customHeight="false" outlineLevel="0" collapsed="false">
      <c r="A1448" s="0" t="n">
        <v>14.162</v>
      </c>
      <c r="B1448" s="0" t="n">
        <v>33.595</v>
      </c>
      <c r="C1448" s="0" t="n">
        <v>20.903</v>
      </c>
      <c r="D1448" s="0" t="n">
        <v>14.158</v>
      </c>
      <c r="E1448" s="0" t="n">
        <v>28.079</v>
      </c>
      <c r="F1448" s="0" t="n">
        <v>0.2022</v>
      </c>
      <c r="G1448" s="12" t="n">
        <f aca="false">(A1448+(C1448*D1448*COS(RADIANS(E1448))^2-F1448*C1448*D1448)*TAN(RADIANS(B1448)))/(C1448*D1448*SIN(RADIANS(E1448))*COS(RADIANS(E1448)))</f>
        <v>1.03697177591167</v>
      </c>
    </row>
    <row r="1449" customFormat="false" ht="15" hidden="false" customHeight="false" outlineLevel="0" collapsed="false">
      <c r="A1449" s="0" t="n">
        <v>16.562</v>
      </c>
      <c r="B1449" s="0" t="n">
        <v>29.204</v>
      </c>
      <c r="C1449" s="0" t="n">
        <v>18.727</v>
      </c>
      <c r="D1449" s="0" t="n">
        <v>12.382</v>
      </c>
      <c r="E1449" s="0" t="n">
        <v>27.445</v>
      </c>
      <c r="F1449" s="0" t="n">
        <v>0.1499</v>
      </c>
      <c r="G1449" s="12" t="n">
        <f aca="false">(A1449+(C1449*D1449*COS(RADIANS(E1449))^2-F1449*C1449*D1449)*TAN(RADIANS(B1449)))/(C1449*D1449*SIN(RADIANS(E1449))*COS(RADIANS(E1449)))</f>
        <v>1.04606884390344</v>
      </c>
    </row>
    <row r="1450" customFormat="false" ht="15" hidden="false" customHeight="false" outlineLevel="0" collapsed="false">
      <c r="A1450" s="0" t="n">
        <v>20.605</v>
      </c>
      <c r="B1450" s="0" t="n">
        <v>34.56</v>
      </c>
      <c r="C1450" s="0" t="n">
        <v>19.78</v>
      </c>
      <c r="D1450" s="0" t="n">
        <v>15.826</v>
      </c>
      <c r="E1450" s="0" t="n">
        <v>28.544</v>
      </c>
      <c r="F1450" s="0" t="n">
        <v>0.1342</v>
      </c>
      <c r="G1450" s="12" t="n">
        <f aca="false">(A1450+(C1450*D1450*COS(RADIANS(E1450))^2-F1450*C1450*D1450)*TAN(RADIANS(B1450)))/(C1450*D1450*SIN(RADIANS(E1450))*COS(RADIANS(E1450)))</f>
        <v>1.20292337503108</v>
      </c>
    </row>
    <row r="1451" customFormat="false" ht="15" hidden="false" customHeight="false" outlineLevel="0" collapsed="false">
      <c r="A1451" s="0" t="n">
        <v>15.725</v>
      </c>
      <c r="B1451" s="0" t="n">
        <v>39.439</v>
      </c>
      <c r="C1451" s="0" t="n">
        <v>19.315</v>
      </c>
      <c r="D1451" s="0" t="n">
        <v>18.725</v>
      </c>
      <c r="E1451" s="0" t="n">
        <v>26.072</v>
      </c>
      <c r="F1451" s="0" t="n">
        <v>0.2922</v>
      </c>
      <c r="G1451" s="12" t="n">
        <f aca="false">(A1451+(C1451*D1451*COS(RADIANS(E1451))^2-F1451*C1451*D1451)*TAN(RADIANS(B1451)))/(C1451*D1451*SIN(RADIANS(E1451))*COS(RADIANS(E1451)))</f>
        <v>1.18242494789219</v>
      </c>
    </row>
    <row r="1452" customFormat="false" ht="15" hidden="false" customHeight="false" outlineLevel="0" collapsed="false">
      <c r="A1452" s="0" t="n">
        <v>11.354</v>
      </c>
      <c r="B1452" s="0" t="n">
        <v>35.104</v>
      </c>
      <c r="C1452" s="0" t="n">
        <v>22.631</v>
      </c>
      <c r="D1452" s="0" t="n">
        <v>13.536</v>
      </c>
      <c r="E1452" s="0" t="n">
        <v>27.207</v>
      </c>
      <c r="F1452" s="0" t="n">
        <v>0.1631</v>
      </c>
      <c r="G1452" s="12" t="n">
        <f aca="false">(A1452+(C1452*D1452*COS(RADIANS(E1452))^2-F1452*C1452*D1452)*TAN(RADIANS(B1452)))/(C1452*D1452*SIN(RADIANS(E1452))*COS(RADIANS(E1452)))</f>
        <v>1.17652071179023</v>
      </c>
    </row>
    <row r="1453" customFormat="false" ht="15" hidden="false" customHeight="false" outlineLevel="0" collapsed="false">
      <c r="A1453" s="0" t="n">
        <v>18.298</v>
      </c>
      <c r="B1453" s="0" t="n">
        <v>30.053</v>
      </c>
      <c r="C1453" s="0" t="n">
        <v>20.274</v>
      </c>
      <c r="D1453" s="0" t="n">
        <v>14.001</v>
      </c>
      <c r="E1453" s="0" t="n">
        <v>29.116</v>
      </c>
      <c r="F1453" s="0" t="n">
        <v>0.1681</v>
      </c>
      <c r="G1453" s="12" t="n">
        <f aca="false">(A1453+(C1453*D1453*COS(RADIANS(E1453))^2-F1453*C1453*D1453)*TAN(RADIANS(B1453)))/(C1453*D1453*SIN(RADIANS(E1453))*COS(RADIANS(E1453)))</f>
        <v>0.961673661905566</v>
      </c>
    </row>
    <row r="1454" customFormat="false" ht="15" hidden="false" customHeight="false" outlineLevel="0" collapsed="false">
      <c r="A1454" s="0" t="n">
        <v>18.685</v>
      </c>
      <c r="B1454" s="0" t="n">
        <v>41.209</v>
      </c>
      <c r="C1454" s="0" t="n">
        <v>21.683</v>
      </c>
      <c r="D1454" s="0" t="n">
        <v>15.549</v>
      </c>
      <c r="E1454" s="0" t="n">
        <v>28.497</v>
      </c>
      <c r="F1454" s="0" t="n">
        <v>0.0913</v>
      </c>
      <c r="G1454" s="12" t="n">
        <f aca="false">(A1454+(C1454*D1454*COS(RADIANS(E1454))^2-F1454*C1454*D1454)*TAN(RADIANS(B1454)))/(C1454*D1454*SIN(RADIANS(E1454))*COS(RADIANS(E1454)))</f>
        <v>1.55455532329249</v>
      </c>
    </row>
    <row r="1455" customFormat="false" ht="15" hidden="false" customHeight="false" outlineLevel="0" collapsed="false">
      <c r="A1455" s="0" t="n">
        <v>17.619</v>
      </c>
      <c r="B1455" s="0" t="n">
        <v>33.063</v>
      </c>
      <c r="C1455" s="0" t="n">
        <v>20.328</v>
      </c>
      <c r="D1455" s="0" t="n">
        <v>13.484</v>
      </c>
      <c r="E1455" s="0" t="n">
        <v>26.977</v>
      </c>
      <c r="F1455" s="0" t="n">
        <v>0.0898</v>
      </c>
      <c r="G1455" s="12" t="n">
        <f aca="false">(A1455+(C1455*D1455*COS(RADIANS(E1455))^2-F1455*C1455*D1455)*TAN(RADIANS(B1455)))/(C1455*D1455*SIN(RADIANS(E1455))*COS(RADIANS(E1455)))</f>
        <v>1.29327334290302</v>
      </c>
    </row>
    <row r="1456" customFormat="false" ht="15" hidden="false" customHeight="false" outlineLevel="0" collapsed="false">
      <c r="A1456" s="0" t="n">
        <v>17.982</v>
      </c>
      <c r="B1456" s="0" t="n">
        <v>35.148</v>
      </c>
      <c r="C1456" s="0" t="n">
        <v>21.044</v>
      </c>
      <c r="D1456" s="0" t="n">
        <v>14.76</v>
      </c>
      <c r="E1456" s="0" t="n">
        <v>28.199</v>
      </c>
      <c r="F1456" s="0" t="n">
        <v>0.1448</v>
      </c>
      <c r="G1456" s="12" t="n">
        <f aca="false">(A1456+(C1456*D1456*COS(RADIANS(E1456))^2-F1456*C1456*D1456)*TAN(RADIANS(B1456)))/(C1456*D1456*SIN(RADIANS(E1456))*COS(RADIANS(E1456)))</f>
        <v>1.2073401971943</v>
      </c>
    </row>
    <row r="1457" customFormat="false" ht="15" hidden="false" customHeight="false" outlineLevel="0" collapsed="false">
      <c r="A1457" s="0" t="n">
        <v>13.916</v>
      </c>
      <c r="B1457" s="0" t="n">
        <v>36.01</v>
      </c>
      <c r="C1457" s="0" t="n">
        <v>20.071</v>
      </c>
      <c r="D1457" s="0" t="n">
        <v>14.294</v>
      </c>
      <c r="E1457" s="0" t="n">
        <v>30.311</v>
      </c>
      <c r="F1457" s="0" t="n">
        <v>0.1092</v>
      </c>
      <c r="G1457" s="12" t="n">
        <f aca="false">(A1457+(C1457*D1457*COS(RADIANS(E1457))^2-F1457*C1457*D1457)*TAN(RADIANS(B1457)))/(C1457*D1457*SIN(RADIANS(E1457))*COS(RADIANS(E1457)))</f>
        <v>1.17240397493409</v>
      </c>
    </row>
    <row r="1458" customFormat="false" ht="15" hidden="false" customHeight="false" outlineLevel="0" collapsed="false">
      <c r="A1458" s="0" t="n">
        <v>11.284</v>
      </c>
      <c r="B1458" s="0" t="n">
        <v>37.606</v>
      </c>
      <c r="C1458" s="0" t="n">
        <v>19.445</v>
      </c>
      <c r="D1458" s="0" t="n">
        <v>20.396</v>
      </c>
      <c r="E1458" s="0" t="n">
        <v>25.594</v>
      </c>
      <c r="F1458" s="0" t="n">
        <v>0.0709</v>
      </c>
      <c r="G1458" s="12" t="n">
        <f aca="false">(A1458+(C1458*D1458*COS(RADIANS(E1458))^2-F1458*C1458*D1458)*TAN(RADIANS(B1458)))/(C1458*D1458*SIN(RADIANS(E1458))*COS(RADIANS(E1458)))</f>
        <v>1.54096459509806</v>
      </c>
    </row>
    <row r="1459" customFormat="false" ht="15" hidden="false" customHeight="false" outlineLevel="0" collapsed="false">
      <c r="A1459" s="0" t="n">
        <v>11.527</v>
      </c>
      <c r="B1459" s="0" t="n">
        <v>36.424</v>
      </c>
      <c r="C1459" s="0" t="n">
        <v>18.855</v>
      </c>
      <c r="D1459" s="0" t="n">
        <v>15.347</v>
      </c>
      <c r="E1459" s="0" t="n">
        <v>30.251</v>
      </c>
      <c r="F1459" s="0" t="n">
        <v>0.0806</v>
      </c>
      <c r="G1459" s="12" t="n">
        <f aca="false">(A1459+(C1459*D1459*COS(RADIANS(E1459))^2-F1459*C1459*D1459)*TAN(RADIANS(B1459)))/(C1459*D1459*SIN(RADIANS(E1459))*COS(RADIANS(E1459)))</f>
        <v>1.22013392922914</v>
      </c>
    </row>
    <row r="1460" customFormat="false" ht="15" hidden="false" customHeight="false" outlineLevel="0" collapsed="false">
      <c r="A1460" s="0" t="n">
        <v>8.458</v>
      </c>
      <c r="B1460" s="0" t="n">
        <v>34.585</v>
      </c>
      <c r="C1460" s="0" t="n">
        <v>18.515</v>
      </c>
      <c r="D1460" s="0" t="n">
        <v>13.11</v>
      </c>
      <c r="E1460" s="0" t="n">
        <v>28.602</v>
      </c>
      <c r="F1460" s="0" t="n">
        <v>0.1243</v>
      </c>
      <c r="G1460" s="12" t="n">
        <f aca="false">(A1460+(C1460*D1460*COS(RADIANS(E1460))^2-F1460*C1460*D1460)*TAN(RADIANS(B1460)))/(C1460*D1460*SIN(RADIANS(E1460))*COS(RADIANS(E1460)))</f>
        <v>1.1434697402357</v>
      </c>
    </row>
    <row r="1461" customFormat="false" ht="15" hidden="false" customHeight="false" outlineLevel="0" collapsed="false">
      <c r="A1461" s="0" t="n">
        <v>15.948</v>
      </c>
      <c r="B1461" s="0" t="n">
        <v>34.966</v>
      </c>
      <c r="C1461" s="0" t="n">
        <v>20.437</v>
      </c>
      <c r="D1461" s="0" t="n">
        <v>18.235</v>
      </c>
      <c r="E1461" s="0" t="n">
        <v>23.419</v>
      </c>
      <c r="F1461" s="0" t="n">
        <v>0.1328</v>
      </c>
      <c r="G1461" s="12" t="n">
        <f aca="false">(A1461+(C1461*D1461*COS(RADIANS(E1461))^2-F1461*C1461*D1461)*TAN(RADIANS(B1461)))/(C1461*D1461*SIN(RADIANS(E1461))*COS(RADIANS(E1461)))</f>
        <v>1.47726871536061</v>
      </c>
    </row>
    <row r="1462" customFormat="false" ht="15" hidden="false" customHeight="false" outlineLevel="0" collapsed="false">
      <c r="A1462" s="0" t="n">
        <v>14.666</v>
      </c>
      <c r="B1462" s="0" t="n">
        <v>32.909</v>
      </c>
      <c r="C1462" s="0" t="n">
        <v>22.281</v>
      </c>
      <c r="D1462" s="0" t="n">
        <v>14.855</v>
      </c>
      <c r="E1462" s="0" t="n">
        <v>27.846</v>
      </c>
      <c r="F1462" s="0" t="n">
        <v>0.0178</v>
      </c>
      <c r="G1462" s="12" t="n">
        <f aca="false">(A1462+(C1462*D1462*COS(RADIANS(E1462))^2-F1462*C1462*D1462)*TAN(RADIANS(B1462)))/(C1462*D1462*SIN(RADIANS(E1462))*COS(RADIANS(E1462)))</f>
        <v>1.30444283050125</v>
      </c>
    </row>
    <row r="1463" customFormat="false" ht="15" hidden="false" customHeight="false" outlineLevel="0" collapsed="false">
      <c r="A1463" s="0" t="n">
        <v>13.24</v>
      </c>
      <c r="B1463" s="0" t="n">
        <v>31.884</v>
      </c>
      <c r="C1463" s="0" t="n">
        <v>18.704</v>
      </c>
      <c r="D1463" s="0" t="n">
        <v>11.895</v>
      </c>
      <c r="E1463" s="0" t="n">
        <v>29.508</v>
      </c>
      <c r="F1463" s="0" t="n">
        <v>0</v>
      </c>
      <c r="G1463" s="12" t="n">
        <f aca="false">(A1463+(C1463*D1463*COS(RADIANS(E1463))^2-F1463*C1463*D1463)*TAN(RADIANS(B1463)))/(C1463*D1463*SIN(RADIANS(E1463))*COS(RADIANS(E1463)))</f>
        <v>1.23795446266123</v>
      </c>
    </row>
    <row r="1464" customFormat="false" ht="15" hidden="false" customHeight="false" outlineLevel="0" collapsed="false">
      <c r="A1464" s="0" t="n">
        <v>3.178</v>
      </c>
      <c r="B1464" s="0" t="n">
        <v>34.087</v>
      </c>
      <c r="C1464" s="0" t="n">
        <v>19.621</v>
      </c>
      <c r="D1464" s="0" t="n">
        <v>12.485</v>
      </c>
      <c r="E1464" s="0" t="n">
        <v>27.324</v>
      </c>
      <c r="F1464" s="0" t="n">
        <v>0.1087</v>
      </c>
      <c r="G1464" s="12" t="n">
        <f aca="false">(A1464+(C1464*D1464*COS(RADIANS(E1464))^2-F1464*C1464*D1464)*TAN(RADIANS(B1464)))/(C1464*D1464*SIN(RADIANS(E1464))*COS(RADIANS(E1464)))</f>
        <v>1.16120818355159</v>
      </c>
    </row>
    <row r="1465" customFormat="false" ht="15" hidden="false" customHeight="false" outlineLevel="0" collapsed="false">
      <c r="A1465" s="0" t="n">
        <v>10.011</v>
      </c>
      <c r="B1465" s="0" t="n">
        <v>39.652</v>
      </c>
      <c r="C1465" s="0" t="n">
        <v>20.891</v>
      </c>
      <c r="D1465" s="0" t="n">
        <v>12.388</v>
      </c>
      <c r="E1465" s="0" t="n">
        <v>26.753</v>
      </c>
      <c r="F1465" s="0" t="n">
        <v>0.2363</v>
      </c>
      <c r="G1465" s="12" t="n">
        <f aca="false">(A1465+(C1465*D1465*COS(RADIANS(E1465))^2-F1465*C1465*D1465)*TAN(RADIANS(B1465)))/(C1465*D1465*SIN(RADIANS(E1465))*COS(RADIANS(E1465)))</f>
        <v>1.25310602791561</v>
      </c>
    </row>
    <row r="1466" customFormat="false" ht="15" hidden="false" customHeight="false" outlineLevel="0" collapsed="false">
      <c r="A1466" s="0" t="n">
        <v>19.483</v>
      </c>
      <c r="B1466" s="0" t="n">
        <v>31.814</v>
      </c>
      <c r="C1466" s="0" t="n">
        <v>19.884</v>
      </c>
      <c r="D1466" s="0" t="n">
        <v>17.392</v>
      </c>
      <c r="E1466" s="0" t="n">
        <v>27.288</v>
      </c>
      <c r="F1466" s="0" t="n">
        <v>0.1671</v>
      </c>
      <c r="G1466" s="12" t="n">
        <f aca="false">(A1466+(C1466*D1466*COS(RADIANS(E1466))^2-F1466*C1466*D1466)*TAN(RADIANS(B1466)))/(C1466*D1466*SIN(RADIANS(E1466))*COS(RADIANS(E1466)))</f>
        <v>1.08640149215909</v>
      </c>
    </row>
    <row r="1467" customFormat="false" ht="15" hidden="false" customHeight="false" outlineLevel="0" collapsed="false">
      <c r="A1467" s="0" t="n">
        <v>12.341</v>
      </c>
      <c r="B1467" s="0" t="n">
        <v>31.035</v>
      </c>
      <c r="C1467" s="0" t="n">
        <v>21.599</v>
      </c>
      <c r="D1467" s="0" t="n">
        <v>13.475</v>
      </c>
      <c r="E1467" s="0" t="n">
        <v>24.547</v>
      </c>
      <c r="F1467" s="0" t="n">
        <v>0.2758</v>
      </c>
      <c r="G1467" s="12" t="n">
        <f aca="false">(A1467+(C1467*D1467*COS(RADIANS(E1467))^2-F1467*C1467*D1467)*TAN(RADIANS(B1467)))/(C1467*D1467*SIN(RADIANS(E1467))*COS(RADIANS(E1467)))</f>
        <v>0.990497829343456</v>
      </c>
    </row>
    <row r="1468" customFormat="false" ht="15" hidden="false" customHeight="false" outlineLevel="0" collapsed="false">
      <c r="A1468" s="0" t="n">
        <v>16.442</v>
      </c>
      <c r="B1468" s="0" t="n">
        <v>35.539</v>
      </c>
      <c r="C1468" s="0" t="n">
        <v>20.724</v>
      </c>
      <c r="D1468" s="0" t="n">
        <v>19.435</v>
      </c>
      <c r="E1468" s="0" t="n">
        <v>25.192</v>
      </c>
      <c r="F1468" s="0" t="n">
        <v>0.1061</v>
      </c>
      <c r="G1468" s="12" t="n">
        <f aca="false">(A1468+(C1468*D1468*COS(RADIANS(E1468))^2-F1468*C1468*D1468)*TAN(RADIANS(B1468)))/(C1468*D1468*SIN(RADIANS(E1468))*COS(RADIANS(E1468)))</f>
        <v>1.42777441995883</v>
      </c>
    </row>
    <row r="1469" customFormat="false" ht="15" hidden="false" customHeight="false" outlineLevel="0" collapsed="false">
      <c r="A1469" s="0" t="n">
        <v>9.437</v>
      </c>
      <c r="B1469" s="0" t="n">
        <v>38.071</v>
      </c>
      <c r="C1469" s="0" t="n">
        <v>17.534</v>
      </c>
      <c r="D1469" s="0" t="n">
        <v>8.044</v>
      </c>
      <c r="E1469" s="0" t="n">
        <v>26.822</v>
      </c>
      <c r="F1469" s="0" t="n">
        <v>0.1619</v>
      </c>
      <c r="G1469" s="12" t="n">
        <f aca="false">(A1469+(C1469*D1469*COS(RADIANS(E1469))^2-F1469*C1469*D1469)*TAN(RADIANS(B1469)))/(C1469*D1469*SIN(RADIANS(E1469))*COS(RADIANS(E1469)))</f>
        <v>1.40039073937793</v>
      </c>
    </row>
    <row r="1470" customFormat="false" ht="15" hidden="false" customHeight="false" outlineLevel="0" collapsed="false">
      <c r="A1470" s="0" t="n">
        <v>20.755</v>
      </c>
      <c r="B1470" s="0" t="n">
        <v>32.981</v>
      </c>
      <c r="C1470" s="0" t="n">
        <v>20.066</v>
      </c>
      <c r="D1470" s="0" t="n">
        <v>13.29</v>
      </c>
      <c r="E1470" s="0" t="n">
        <v>28.162</v>
      </c>
      <c r="F1470" s="0" t="n">
        <v>0.081</v>
      </c>
      <c r="G1470" s="12" t="n">
        <f aca="false">(A1470+(C1470*D1470*COS(RADIANS(E1470))^2-F1470*C1470*D1470)*TAN(RADIANS(B1470)))/(C1470*D1470*SIN(RADIANS(E1470))*COS(RADIANS(E1470)))</f>
        <v>1.27290874134628</v>
      </c>
    </row>
    <row r="1471" customFormat="false" ht="15" hidden="false" customHeight="false" outlineLevel="0" collapsed="false">
      <c r="A1471" s="0" t="n">
        <v>14.424</v>
      </c>
      <c r="B1471" s="0" t="n">
        <v>32.079</v>
      </c>
      <c r="C1471" s="0" t="n">
        <v>20.839</v>
      </c>
      <c r="D1471" s="0" t="n">
        <v>15.207</v>
      </c>
      <c r="E1471" s="0" t="n">
        <v>26.927</v>
      </c>
      <c r="F1471" s="0" t="n">
        <v>0.162</v>
      </c>
      <c r="G1471" s="12" t="n">
        <f aca="false">(A1471+(C1471*D1471*COS(RADIANS(E1471))^2-F1471*C1471*D1471)*TAN(RADIANS(B1471)))/(C1471*D1471*SIN(RADIANS(E1471))*COS(RADIANS(E1471)))</f>
        <v>1.09527021085298</v>
      </c>
    </row>
    <row r="1472" customFormat="false" ht="15" hidden="false" customHeight="false" outlineLevel="0" collapsed="false">
      <c r="A1472" s="0" t="n">
        <v>16.16</v>
      </c>
      <c r="B1472" s="0" t="n">
        <v>36.101</v>
      </c>
      <c r="C1472" s="0" t="n">
        <v>20.071</v>
      </c>
      <c r="D1472" s="0" t="n">
        <v>18.627</v>
      </c>
      <c r="E1472" s="0" t="n">
        <v>30.325</v>
      </c>
      <c r="F1472" s="0" t="n">
        <v>0.1211</v>
      </c>
      <c r="G1472" s="12" t="n">
        <f aca="false">(A1472+(C1472*D1472*COS(RADIANS(E1472))^2-F1472*C1472*D1472)*TAN(RADIANS(B1472)))/(C1472*D1472*SIN(RADIANS(E1472))*COS(RADIANS(E1472)))</f>
        <v>1.14324263530865</v>
      </c>
    </row>
    <row r="1473" customFormat="false" ht="15" hidden="false" customHeight="false" outlineLevel="0" collapsed="false">
      <c r="A1473" s="0" t="n">
        <v>24.303</v>
      </c>
      <c r="B1473" s="0" t="n">
        <v>35.506</v>
      </c>
      <c r="C1473" s="0" t="n">
        <v>20.555</v>
      </c>
      <c r="D1473" s="0" t="n">
        <v>10.164</v>
      </c>
      <c r="E1473" s="0" t="n">
        <v>27.298</v>
      </c>
      <c r="F1473" s="0" t="n">
        <v>0.1545</v>
      </c>
      <c r="G1473" s="12" t="n">
        <f aca="false">(A1473+(C1473*D1473*COS(RADIANS(E1473))^2-F1473*C1473*D1473)*TAN(RADIANS(B1473)))/(C1473*D1473*SIN(RADIANS(E1473))*COS(RADIANS(E1473)))</f>
        <v>1.39736751043451</v>
      </c>
    </row>
    <row r="1474" customFormat="false" ht="15" hidden="false" customHeight="false" outlineLevel="0" collapsed="false">
      <c r="A1474" s="0" t="n">
        <v>21.066</v>
      </c>
      <c r="B1474" s="0" t="n">
        <v>39.556</v>
      </c>
      <c r="C1474" s="0" t="n">
        <v>19.486</v>
      </c>
      <c r="D1474" s="0" t="n">
        <v>12.821</v>
      </c>
      <c r="E1474" s="0" t="n">
        <v>27.281</v>
      </c>
      <c r="F1474" s="0" t="n">
        <v>0.2476</v>
      </c>
      <c r="G1474" s="12" t="n">
        <f aca="false">(A1474+(C1474*D1474*COS(RADIANS(E1474))^2-F1474*C1474*D1474)*TAN(RADIANS(B1474)))/(C1474*D1474*SIN(RADIANS(E1474))*COS(RADIANS(E1474)))</f>
        <v>1.30656797526999</v>
      </c>
    </row>
    <row r="1475" customFormat="false" ht="15" hidden="false" customHeight="false" outlineLevel="0" collapsed="false">
      <c r="A1475" s="0" t="n">
        <v>13.774</v>
      </c>
      <c r="B1475" s="0" t="n">
        <v>38.615</v>
      </c>
      <c r="C1475" s="0" t="n">
        <v>21.046</v>
      </c>
      <c r="D1475" s="0" t="n">
        <v>13.441</v>
      </c>
      <c r="E1475" s="0" t="n">
        <v>30.553</v>
      </c>
      <c r="F1475" s="0" t="n">
        <v>0.1334</v>
      </c>
      <c r="G1475" s="12" t="n">
        <f aca="false">(A1475+(C1475*D1475*COS(RADIANS(E1475))^2-F1475*C1475*D1475)*TAN(RADIANS(B1475)))/(C1475*D1475*SIN(RADIANS(E1475))*COS(RADIANS(E1475)))</f>
        <v>1.22092433869139</v>
      </c>
    </row>
    <row r="1476" customFormat="false" ht="15" hidden="false" customHeight="false" outlineLevel="0" collapsed="false">
      <c r="A1476" s="0" t="n">
        <v>12.627</v>
      </c>
      <c r="B1476" s="0" t="n">
        <v>31.207</v>
      </c>
      <c r="C1476" s="0" t="n">
        <v>19.463</v>
      </c>
      <c r="D1476" s="0" t="n">
        <v>15.342</v>
      </c>
      <c r="E1476" s="0" t="n">
        <v>28.809</v>
      </c>
      <c r="F1476" s="0" t="n">
        <v>0.2281</v>
      </c>
      <c r="G1476" s="12" t="n">
        <f aca="false">(A1476+(C1476*D1476*COS(RADIANS(E1476))^2-F1476*C1476*D1476)*TAN(RADIANS(B1476)))/(C1476*D1476*SIN(RADIANS(E1476))*COS(RADIANS(E1476)))</f>
        <v>0.874413765145956</v>
      </c>
    </row>
    <row r="1477" customFormat="false" ht="15" hidden="false" customHeight="false" outlineLevel="0" collapsed="false">
      <c r="A1477" s="0" t="n">
        <v>13.698</v>
      </c>
      <c r="B1477" s="0" t="n">
        <v>31.902</v>
      </c>
      <c r="C1477" s="0" t="n">
        <v>17.457</v>
      </c>
      <c r="D1477" s="0" t="n">
        <v>19.583</v>
      </c>
      <c r="E1477" s="0" t="n">
        <v>28.117</v>
      </c>
      <c r="F1477" s="0" t="n">
        <v>0.1472</v>
      </c>
      <c r="G1477" s="12" t="n">
        <f aca="false">(A1477+(C1477*D1477*COS(RADIANS(E1477))^2-F1477*C1477*D1477)*TAN(RADIANS(B1477)))/(C1477*D1477*SIN(RADIANS(E1477))*COS(RADIANS(E1477)))</f>
        <v>1.04094535932706</v>
      </c>
    </row>
    <row r="1478" customFormat="false" ht="15" hidden="false" customHeight="false" outlineLevel="0" collapsed="false">
      <c r="A1478" s="0" t="n">
        <v>17.04</v>
      </c>
      <c r="B1478" s="0" t="n">
        <v>26.628</v>
      </c>
      <c r="C1478" s="0" t="n">
        <v>19.081</v>
      </c>
      <c r="D1478" s="0" t="n">
        <v>13.124</v>
      </c>
      <c r="E1478" s="0" t="n">
        <v>28.422</v>
      </c>
      <c r="F1478" s="0" t="n">
        <v>0.0053</v>
      </c>
      <c r="G1478" s="12" t="n">
        <f aca="false">(A1478+(C1478*D1478*COS(RADIANS(E1478))^2-F1478*C1478*D1478)*TAN(RADIANS(B1478)))/(C1478*D1478*SIN(RADIANS(E1478))*COS(RADIANS(E1478)))</f>
        <v>1.08263242829468</v>
      </c>
    </row>
    <row r="1479" customFormat="false" ht="15" hidden="false" customHeight="false" outlineLevel="0" collapsed="false">
      <c r="A1479" s="0" t="n">
        <v>14.579</v>
      </c>
      <c r="B1479" s="0" t="n">
        <v>35.582</v>
      </c>
      <c r="C1479" s="0" t="n">
        <v>19.699</v>
      </c>
      <c r="D1479" s="0" t="n">
        <v>17.788</v>
      </c>
      <c r="E1479" s="0" t="n">
        <v>27.822</v>
      </c>
      <c r="F1479" s="0" t="n">
        <v>0.2006</v>
      </c>
      <c r="G1479" s="12" t="n">
        <f aca="false">(A1479+(C1479*D1479*COS(RADIANS(E1479))^2-F1479*C1479*D1479)*TAN(RADIANS(B1479)))/(C1479*D1479*SIN(RADIANS(E1479))*COS(RADIANS(E1479)))</f>
        <v>1.10881750089972</v>
      </c>
    </row>
    <row r="1480" customFormat="false" ht="15" hidden="false" customHeight="false" outlineLevel="0" collapsed="false">
      <c r="A1480" s="0" t="n">
        <v>13.419</v>
      </c>
      <c r="B1480" s="0" t="n">
        <v>32.701</v>
      </c>
      <c r="C1480" s="0" t="n">
        <v>20.103</v>
      </c>
      <c r="D1480" s="0" t="n">
        <v>14.045</v>
      </c>
      <c r="E1480" s="0" t="n">
        <v>25.784</v>
      </c>
      <c r="F1480" s="0" t="n">
        <v>0.1216</v>
      </c>
      <c r="G1480" s="12" t="n">
        <f aca="false">(A1480+(C1480*D1480*COS(RADIANS(E1480))^2-F1480*C1480*D1480)*TAN(RADIANS(B1480)))/(C1480*D1480*SIN(RADIANS(E1480))*COS(RADIANS(E1480)))</f>
        <v>1.25103658734784</v>
      </c>
    </row>
    <row r="1481" customFormat="false" ht="15" hidden="false" customHeight="false" outlineLevel="0" collapsed="false">
      <c r="A1481" s="0" t="n">
        <v>20.869</v>
      </c>
      <c r="B1481" s="0" t="n">
        <v>40.95</v>
      </c>
      <c r="C1481" s="0" t="n">
        <v>18.724</v>
      </c>
      <c r="D1481" s="0" t="n">
        <v>14.674</v>
      </c>
      <c r="E1481" s="0" t="n">
        <v>24.758</v>
      </c>
      <c r="F1481" s="0" t="n">
        <v>0.1435</v>
      </c>
      <c r="G1481" s="12" t="n">
        <f aca="false">(A1481+(C1481*D1481*COS(RADIANS(E1481))^2-F1481*C1481*D1481)*TAN(RADIANS(B1481)))/(C1481*D1481*SIN(RADIANS(E1481))*COS(RADIANS(E1481)))</f>
        <v>1.75390419567517</v>
      </c>
    </row>
    <row r="1482" customFormat="false" ht="15" hidden="false" customHeight="false" outlineLevel="0" collapsed="false">
      <c r="A1482" s="0" t="n">
        <v>14.543</v>
      </c>
      <c r="B1482" s="0" t="n">
        <v>33.496</v>
      </c>
      <c r="C1482" s="0" t="n">
        <v>19.938</v>
      </c>
      <c r="D1482" s="0" t="n">
        <v>14.883</v>
      </c>
      <c r="E1482" s="0" t="n">
        <v>28.389</v>
      </c>
      <c r="F1482" s="0" t="n">
        <v>0.2262</v>
      </c>
      <c r="G1482" s="12" t="n">
        <f aca="false">(A1482+(C1482*D1482*COS(RADIANS(E1482))^2-F1482*C1482*D1482)*TAN(RADIANS(B1482)))/(C1482*D1482*SIN(RADIANS(E1482))*COS(RADIANS(E1482)))</f>
        <v>0.983791543537055</v>
      </c>
    </row>
    <row r="1483" customFormat="false" ht="15" hidden="false" customHeight="false" outlineLevel="0" collapsed="false">
      <c r="A1483" s="0" t="n">
        <v>24.198</v>
      </c>
      <c r="B1483" s="0" t="n">
        <v>34.005</v>
      </c>
      <c r="C1483" s="0" t="n">
        <v>20.52</v>
      </c>
      <c r="D1483" s="0" t="n">
        <v>15.211</v>
      </c>
      <c r="E1483" s="0" t="n">
        <v>28.524</v>
      </c>
      <c r="F1483" s="0" t="n">
        <v>0.2833</v>
      </c>
      <c r="G1483" s="12" t="n">
        <f aca="false">(A1483+(C1483*D1483*COS(RADIANS(E1483))^2-F1483*C1483*D1483)*TAN(RADIANS(B1483)))/(C1483*D1483*SIN(RADIANS(E1483))*COS(RADIANS(E1483)))</f>
        <v>0.970528983130714</v>
      </c>
    </row>
    <row r="1484" customFormat="false" ht="15" hidden="false" customHeight="false" outlineLevel="0" collapsed="false">
      <c r="A1484" s="0" t="n">
        <v>15.363</v>
      </c>
      <c r="B1484" s="0" t="n">
        <v>32.893</v>
      </c>
      <c r="C1484" s="0" t="n">
        <v>21.382</v>
      </c>
      <c r="D1484" s="0" t="n">
        <v>19.526</v>
      </c>
      <c r="E1484" s="0" t="n">
        <v>27.739</v>
      </c>
      <c r="F1484" s="0" t="n">
        <v>0.0727</v>
      </c>
      <c r="G1484" s="12" t="n">
        <f aca="false">(A1484+(C1484*D1484*COS(RADIANS(E1484))^2-F1484*C1484*D1484)*TAN(RADIANS(B1484)))/(C1484*D1484*SIN(RADIANS(E1484))*COS(RADIANS(E1484)))</f>
        <v>1.2050400198276</v>
      </c>
    </row>
    <row r="1485" customFormat="false" ht="15" hidden="false" customHeight="false" outlineLevel="0" collapsed="false">
      <c r="A1485" s="0" t="n">
        <v>22.141</v>
      </c>
      <c r="B1485" s="0" t="n">
        <v>35.268</v>
      </c>
      <c r="C1485" s="0" t="n">
        <v>17.729</v>
      </c>
      <c r="D1485" s="0" t="n">
        <v>14.425</v>
      </c>
      <c r="E1485" s="0" t="n">
        <v>25.671</v>
      </c>
      <c r="F1485" s="0" t="n">
        <v>0.1277</v>
      </c>
      <c r="G1485" s="12" t="n">
        <f aca="false">(A1485+(C1485*D1485*COS(RADIANS(E1485))^2-F1485*C1485*D1485)*TAN(RADIANS(B1485)))/(C1485*D1485*SIN(RADIANS(E1485))*COS(RADIANS(E1485)))</f>
        <v>1.46179850224737</v>
      </c>
    </row>
    <row r="1486" customFormat="false" ht="15" hidden="false" customHeight="false" outlineLevel="0" collapsed="false">
      <c r="A1486" s="0" t="n">
        <v>16.429</v>
      </c>
      <c r="B1486" s="0" t="n">
        <v>39.05</v>
      </c>
      <c r="C1486" s="0" t="n">
        <v>19.028</v>
      </c>
      <c r="D1486" s="0" t="n">
        <v>12.791</v>
      </c>
      <c r="E1486" s="0" t="n">
        <v>23.62</v>
      </c>
      <c r="F1486" s="0" t="n">
        <v>0.2016</v>
      </c>
      <c r="G1486" s="12" t="n">
        <f aca="false">(A1486+(C1486*D1486*COS(RADIANS(E1486))^2-F1486*C1486*D1486)*TAN(RADIANS(B1486)))/(C1486*D1486*SIN(RADIANS(E1486))*COS(RADIANS(E1486)))</f>
        <v>1.59344336995973</v>
      </c>
    </row>
    <row r="1487" customFormat="false" ht="15" hidden="false" customHeight="false" outlineLevel="0" collapsed="false">
      <c r="A1487" s="0" t="n">
        <v>18.852</v>
      </c>
      <c r="B1487" s="0" t="n">
        <v>28.677</v>
      </c>
      <c r="C1487" s="0" t="n">
        <v>21.598</v>
      </c>
      <c r="D1487" s="0" t="n">
        <v>12.632</v>
      </c>
      <c r="E1487" s="0" t="n">
        <v>27.583</v>
      </c>
      <c r="F1487" s="0" t="n">
        <v>0.1091</v>
      </c>
      <c r="G1487" s="12" t="n">
        <f aca="false">(A1487+(C1487*D1487*COS(RADIANS(E1487))^2-F1487*C1487*D1487)*TAN(RADIANS(B1487)))/(C1487*D1487*SIN(RADIANS(E1487))*COS(RADIANS(E1487)))</f>
        <v>1.06996513386335</v>
      </c>
    </row>
    <row r="1488" customFormat="false" ht="15" hidden="false" customHeight="false" outlineLevel="0" collapsed="false">
      <c r="A1488" s="0" t="n">
        <v>12.102</v>
      </c>
      <c r="B1488" s="0" t="n">
        <v>38.354</v>
      </c>
      <c r="C1488" s="0" t="n">
        <v>20.038</v>
      </c>
      <c r="D1488" s="0" t="n">
        <v>13.635</v>
      </c>
      <c r="E1488" s="0" t="n">
        <v>32.278</v>
      </c>
      <c r="F1488" s="0" t="n">
        <v>0.1001</v>
      </c>
      <c r="G1488" s="12" t="n">
        <f aca="false">(A1488+(C1488*D1488*COS(RADIANS(E1488))^2-F1488*C1488*D1488)*TAN(RADIANS(B1488)))/(C1488*D1488*SIN(RADIANS(E1488))*COS(RADIANS(E1488)))</f>
        <v>1.17542530116653</v>
      </c>
    </row>
    <row r="1489" customFormat="false" ht="15" hidden="false" customHeight="false" outlineLevel="0" collapsed="false">
      <c r="A1489" s="0" t="n">
        <v>11.585</v>
      </c>
      <c r="B1489" s="0" t="n">
        <v>29.113</v>
      </c>
      <c r="C1489" s="0" t="n">
        <v>19.02</v>
      </c>
      <c r="D1489" s="0" t="n">
        <v>11.262</v>
      </c>
      <c r="E1489" s="0" t="n">
        <v>27.972</v>
      </c>
      <c r="F1489" s="0" t="n">
        <v>0.2284</v>
      </c>
      <c r="G1489" s="12" t="n">
        <f aca="false">(A1489+(C1489*D1489*COS(RADIANS(E1489))^2-F1489*C1489*D1489)*TAN(RADIANS(B1489)))/(C1489*D1489*SIN(RADIANS(E1489))*COS(RADIANS(E1489)))</f>
        <v>0.872105293204768</v>
      </c>
    </row>
    <row r="1490" customFormat="false" ht="15" hidden="false" customHeight="false" outlineLevel="0" collapsed="false">
      <c r="A1490" s="0" t="n">
        <v>16.839</v>
      </c>
      <c r="B1490" s="0" t="n">
        <v>34.114</v>
      </c>
      <c r="C1490" s="0" t="n">
        <v>20.594</v>
      </c>
      <c r="D1490" s="0" t="n">
        <v>11.395</v>
      </c>
      <c r="E1490" s="0" t="n">
        <v>25.989</v>
      </c>
      <c r="F1490" s="0" t="n">
        <v>0.2753</v>
      </c>
      <c r="G1490" s="12" t="n">
        <f aca="false">(A1490+(C1490*D1490*COS(RADIANS(E1490))^2-F1490*C1490*D1490)*TAN(RADIANS(B1490)))/(C1490*D1490*SIN(RADIANS(E1490))*COS(RADIANS(E1490)))</f>
        <v>1.09828204922944</v>
      </c>
    </row>
    <row r="1491" customFormat="false" ht="15" hidden="false" customHeight="false" outlineLevel="0" collapsed="false">
      <c r="A1491" s="0" t="n">
        <v>18.954</v>
      </c>
      <c r="B1491" s="0" t="n">
        <v>31.747</v>
      </c>
      <c r="C1491" s="0" t="n">
        <v>20.535</v>
      </c>
      <c r="D1491" s="0" t="n">
        <v>16.8</v>
      </c>
      <c r="E1491" s="0" t="n">
        <v>32.05</v>
      </c>
      <c r="F1491" s="0" t="n">
        <v>0.0564</v>
      </c>
      <c r="G1491" s="12" t="n">
        <f aca="false">(A1491+(C1491*D1491*COS(RADIANS(E1491))^2-F1491*C1491*D1491)*TAN(RADIANS(B1491)))/(C1491*D1491*SIN(RADIANS(E1491))*COS(RADIANS(E1491)))</f>
        <v>1.03284458570176</v>
      </c>
    </row>
    <row r="1492" customFormat="false" ht="15" hidden="false" customHeight="false" outlineLevel="0" collapsed="false">
      <c r="A1492" s="0" t="n">
        <v>15.161</v>
      </c>
      <c r="B1492" s="0" t="n">
        <v>31.902</v>
      </c>
      <c r="C1492" s="0" t="n">
        <v>17.37</v>
      </c>
      <c r="D1492" s="0" t="n">
        <v>15.552</v>
      </c>
      <c r="E1492" s="0" t="n">
        <v>27.277</v>
      </c>
      <c r="F1492" s="0" t="n">
        <v>0.2168</v>
      </c>
      <c r="G1492" s="12" t="n">
        <f aca="false">(A1492+(C1492*D1492*COS(RADIANS(E1492))^2-F1492*C1492*D1492)*TAN(RADIANS(B1492)))/(C1492*D1492*SIN(RADIANS(E1492))*COS(RADIANS(E1492)))</f>
        <v>1.01371150459677</v>
      </c>
    </row>
    <row r="1493" customFormat="false" ht="15" hidden="false" customHeight="false" outlineLevel="0" collapsed="false">
      <c r="A1493" s="0" t="n">
        <v>9.854</v>
      </c>
      <c r="B1493" s="0" t="n">
        <v>30.836</v>
      </c>
      <c r="C1493" s="0" t="n">
        <v>20.227</v>
      </c>
      <c r="D1493" s="0" t="n">
        <v>17.079</v>
      </c>
      <c r="E1493" s="0" t="n">
        <v>26.483</v>
      </c>
      <c r="F1493" s="0" t="n">
        <v>0.1024</v>
      </c>
      <c r="G1493" s="12" t="n">
        <f aca="false">(A1493+(C1493*D1493*COS(RADIANS(E1493))^2-F1493*C1493*D1493)*TAN(RADIANS(B1493)))/(C1493*D1493*SIN(RADIANS(E1493))*COS(RADIANS(E1493)))</f>
        <v>1.11654071872492</v>
      </c>
    </row>
    <row r="1494" customFormat="false" ht="15" hidden="false" customHeight="false" outlineLevel="0" collapsed="false">
      <c r="A1494" s="0" t="n">
        <v>9.559</v>
      </c>
      <c r="B1494" s="0" t="n">
        <v>36.173</v>
      </c>
      <c r="C1494" s="0" t="n">
        <v>19.307</v>
      </c>
      <c r="D1494" s="0" t="n">
        <v>14.983</v>
      </c>
      <c r="E1494" s="0" t="n">
        <v>29.214</v>
      </c>
      <c r="F1494" s="0" t="n">
        <v>0.2097</v>
      </c>
      <c r="G1494" s="12" t="n">
        <f aca="false">(A1494+(C1494*D1494*COS(RADIANS(E1494))^2-F1494*C1494*D1494)*TAN(RADIANS(B1494)))/(C1494*D1494*SIN(RADIANS(E1494))*COS(RADIANS(E1494)))</f>
        <v>1.02516162454362</v>
      </c>
    </row>
    <row r="1495" customFormat="false" ht="15" hidden="false" customHeight="false" outlineLevel="0" collapsed="false">
      <c r="A1495" s="0" t="n">
        <v>9.291</v>
      </c>
      <c r="B1495" s="0" t="n">
        <v>33.652</v>
      </c>
      <c r="C1495" s="0" t="n">
        <v>20.047</v>
      </c>
      <c r="D1495" s="0" t="n">
        <v>20.251</v>
      </c>
      <c r="E1495" s="0" t="n">
        <v>27.403</v>
      </c>
      <c r="F1495" s="0" t="n">
        <v>0.1777</v>
      </c>
      <c r="G1495" s="12" t="n">
        <f aca="false">(A1495+(C1495*D1495*COS(RADIANS(E1495))^2-F1495*C1495*D1495)*TAN(RADIANS(B1495)))/(C1495*D1495*SIN(RADIANS(E1495))*COS(RADIANS(E1495)))</f>
        <v>1.05061111881778</v>
      </c>
    </row>
    <row r="1496" customFormat="false" ht="15" hidden="false" customHeight="false" outlineLevel="0" collapsed="false">
      <c r="A1496" s="0" t="n">
        <v>7.93</v>
      </c>
      <c r="B1496" s="0" t="n">
        <v>36.599</v>
      </c>
      <c r="C1496" s="0" t="n">
        <v>20.203</v>
      </c>
      <c r="D1496" s="0" t="n">
        <v>11.715</v>
      </c>
      <c r="E1496" s="0" t="n">
        <v>27.572</v>
      </c>
      <c r="F1496" s="0" t="n">
        <v>0.1155</v>
      </c>
      <c r="G1496" s="12" t="n">
        <f aca="false">(A1496+(C1496*D1496*COS(RADIANS(E1496))^2-F1496*C1496*D1496)*TAN(RADIANS(B1496)))/(C1496*D1496*SIN(RADIANS(E1496))*COS(RADIANS(E1496)))</f>
        <v>1.29483441526295</v>
      </c>
    </row>
    <row r="1497" customFormat="false" ht="15" hidden="false" customHeight="false" outlineLevel="0" collapsed="false">
      <c r="A1497" s="0" t="n">
        <v>15.438</v>
      </c>
      <c r="B1497" s="0" t="n">
        <v>36.973</v>
      </c>
      <c r="C1497" s="0" t="n">
        <v>21</v>
      </c>
      <c r="D1497" s="0" t="n">
        <v>15.51</v>
      </c>
      <c r="E1497" s="0" t="n">
        <v>25.176</v>
      </c>
      <c r="F1497" s="0" t="n">
        <v>0.2469</v>
      </c>
      <c r="G1497" s="12" t="n">
        <f aca="false">(A1497+(C1497*D1497*COS(RADIANS(E1497))^2-F1497*C1497*D1497)*TAN(RADIANS(B1497)))/(C1497*D1497*SIN(RADIANS(E1497))*COS(RADIANS(E1497)))</f>
        <v>1.24187757133745</v>
      </c>
    </row>
    <row r="1498" customFormat="false" ht="15" hidden="false" customHeight="false" outlineLevel="0" collapsed="false">
      <c r="A1498" s="0" t="n">
        <v>19.5</v>
      </c>
      <c r="B1498" s="0" t="n">
        <v>34.166</v>
      </c>
      <c r="C1498" s="0" t="n">
        <v>21.03</v>
      </c>
      <c r="D1498" s="0" t="n">
        <v>15.239</v>
      </c>
      <c r="E1498" s="0" t="n">
        <v>25.805</v>
      </c>
      <c r="F1498" s="0" t="n">
        <v>0.2432</v>
      </c>
      <c r="G1498" s="12" t="n">
        <f aca="false">(A1498+(C1498*D1498*COS(RADIANS(E1498))^2-F1498*C1498*D1498)*TAN(RADIANS(B1498)))/(C1498*D1498*SIN(RADIANS(E1498))*COS(RADIANS(E1498)))</f>
        <v>1.1377759356427</v>
      </c>
    </row>
    <row r="1499" customFormat="false" ht="15" hidden="false" customHeight="false" outlineLevel="0" collapsed="false">
      <c r="A1499" s="0" t="n">
        <v>14.946</v>
      </c>
      <c r="B1499" s="0" t="n">
        <v>36.962</v>
      </c>
      <c r="C1499" s="0" t="n">
        <v>21.446</v>
      </c>
      <c r="D1499" s="0" t="n">
        <v>15.367</v>
      </c>
      <c r="E1499" s="0" t="n">
        <v>23.931</v>
      </c>
      <c r="F1499" s="0" t="n">
        <v>0.0698</v>
      </c>
      <c r="G1499" s="12" t="n">
        <f aca="false">(A1499+(C1499*D1499*COS(RADIANS(E1499))^2-F1499*C1499*D1499)*TAN(RADIANS(B1499)))/(C1499*D1499*SIN(RADIANS(E1499))*COS(RADIANS(E1499)))</f>
        <v>1.67631872272499</v>
      </c>
    </row>
    <row r="1500" customFormat="false" ht="15" hidden="false" customHeight="false" outlineLevel="0" collapsed="false">
      <c r="A1500" s="0" t="n">
        <v>5.958</v>
      </c>
      <c r="B1500" s="0" t="n">
        <v>35.216</v>
      </c>
      <c r="C1500" s="0" t="n">
        <v>20.701</v>
      </c>
      <c r="D1500" s="0" t="n">
        <v>16.053</v>
      </c>
      <c r="E1500" s="0" t="n">
        <v>25.717</v>
      </c>
      <c r="F1500" s="0" t="n">
        <v>0.223</v>
      </c>
      <c r="G1500" s="12" t="n">
        <f aca="false">(A1500+(C1500*D1500*COS(RADIANS(E1500))^2-F1500*C1500*D1500)*TAN(RADIANS(B1500)))/(C1500*D1500*SIN(RADIANS(E1500))*COS(RADIANS(E1500)))</f>
        <v>1.10875579384849</v>
      </c>
    </row>
    <row r="1501" customFormat="false" ht="15" hidden="false" customHeight="false" outlineLevel="0" collapsed="false">
      <c r="A1501" s="0" t="n">
        <v>14.237</v>
      </c>
      <c r="B1501" s="0" t="n">
        <v>33.557</v>
      </c>
      <c r="C1501" s="0" t="n">
        <v>21.186</v>
      </c>
      <c r="D1501" s="0" t="n">
        <v>14.377</v>
      </c>
      <c r="E1501" s="0" t="n">
        <v>25.764</v>
      </c>
      <c r="F1501" s="0" t="n">
        <v>0</v>
      </c>
      <c r="G1501" s="12" t="n">
        <f aca="false">(A1501+(C1501*D1501*COS(RADIANS(E1501))^2-F1501*C1501*D1501)*TAN(RADIANS(B1501)))/(C1501*D1501*SIN(RADIANS(E1501))*COS(RADIANS(E1501)))</f>
        <v>1.49374433131978</v>
      </c>
    </row>
    <row r="1502" customFormat="false" ht="15" hidden="false" customHeight="false" outlineLevel="0" collapsed="false">
      <c r="A1502" s="0" t="n">
        <v>14.349</v>
      </c>
      <c r="B1502" s="0" t="n">
        <v>37.744</v>
      </c>
      <c r="C1502" s="0" t="n">
        <v>18.753</v>
      </c>
      <c r="D1502" s="0" t="n">
        <v>11.436</v>
      </c>
      <c r="E1502" s="0" t="n">
        <v>28.77</v>
      </c>
      <c r="F1502" s="0" t="n">
        <v>0.2743</v>
      </c>
      <c r="G1502" s="12" t="n">
        <f aca="false">(A1502+(C1502*D1502*COS(RADIANS(E1502))^2-F1502*C1502*D1502)*TAN(RADIANS(B1502)))/(C1502*D1502*SIN(RADIANS(E1502))*COS(RADIANS(E1502)))</f>
        <v>1.06513744690633</v>
      </c>
    </row>
    <row r="1503" customFormat="false" ht="15" hidden="false" customHeight="false" outlineLevel="0" collapsed="false">
      <c r="A1503" s="0" t="n">
        <v>23.384</v>
      </c>
      <c r="B1503" s="0" t="n">
        <v>39.423</v>
      </c>
      <c r="C1503" s="0" t="n">
        <v>21.32</v>
      </c>
      <c r="D1503" s="0" t="n">
        <v>15.816</v>
      </c>
      <c r="E1503" s="0" t="n">
        <v>24.603</v>
      </c>
      <c r="F1503" s="0" t="n">
        <v>0.1604</v>
      </c>
      <c r="G1503" s="12" t="n">
        <f aca="false">(A1503+(C1503*D1503*COS(RADIANS(E1503))^2-F1503*C1503*D1503)*TAN(RADIANS(B1503)))/(C1503*D1503*SIN(RADIANS(E1503))*COS(RADIANS(E1503)))</f>
        <v>1.63018593760745</v>
      </c>
    </row>
    <row r="1504" customFormat="false" ht="15" hidden="false" customHeight="false" outlineLevel="0" collapsed="false">
      <c r="A1504" s="0" t="n">
        <v>9.171</v>
      </c>
      <c r="B1504" s="0" t="n">
        <v>38.77</v>
      </c>
      <c r="C1504" s="0" t="n">
        <v>20.69</v>
      </c>
      <c r="D1504" s="0" t="n">
        <v>19.522</v>
      </c>
      <c r="E1504" s="0" t="n">
        <v>28.079</v>
      </c>
      <c r="F1504" s="0" t="n">
        <v>0.1761</v>
      </c>
      <c r="G1504" s="12" t="n">
        <f aca="false">(A1504+(C1504*D1504*COS(RADIANS(E1504))^2-F1504*C1504*D1504)*TAN(RADIANS(B1504)))/(C1504*D1504*SIN(RADIANS(E1504))*COS(RADIANS(E1504)))</f>
        <v>1.21961119265723</v>
      </c>
    </row>
    <row r="1505" customFormat="false" ht="15" hidden="false" customHeight="false" outlineLevel="0" collapsed="false">
      <c r="A1505" s="0" t="n">
        <v>13.437</v>
      </c>
      <c r="B1505" s="0" t="n">
        <v>29.892</v>
      </c>
      <c r="C1505" s="0" t="n">
        <v>22.03</v>
      </c>
      <c r="D1505" s="0" t="n">
        <v>14.687</v>
      </c>
      <c r="E1505" s="0" t="n">
        <v>32.461</v>
      </c>
      <c r="F1505" s="0" t="n">
        <v>0.1526</v>
      </c>
      <c r="G1505" s="12" t="n">
        <f aca="false">(A1505+(C1505*D1505*COS(RADIANS(E1505))^2-F1505*C1505*D1505)*TAN(RADIANS(B1505)))/(C1505*D1505*SIN(RADIANS(E1505))*COS(RADIANS(E1505)))</f>
        <v>0.80167682508594</v>
      </c>
    </row>
    <row r="1506" customFormat="false" ht="15" hidden="false" customHeight="false" outlineLevel="0" collapsed="false">
      <c r="A1506" s="0" t="n">
        <v>21.823</v>
      </c>
      <c r="B1506" s="0" t="n">
        <v>35.188</v>
      </c>
      <c r="C1506" s="0" t="n">
        <v>21.033</v>
      </c>
      <c r="D1506" s="0" t="n">
        <v>16.571</v>
      </c>
      <c r="E1506" s="0" t="n">
        <v>28.656</v>
      </c>
      <c r="F1506" s="0" t="n">
        <v>0.1285</v>
      </c>
      <c r="G1506" s="12" t="n">
        <f aca="false">(A1506+(C1506*D1506*COS(RADIANS(E1506))^2-F1506*C1506*D1506)*TAN(RADIANS(B1506)))/(C1506*D1506*SIN(RADIANS(E1506))*COS(RADIANS(E1506)))</f>
        <v>1.2237363160716</v>
      </c>
    </row>
    <row r="1507" customFormat="false" ht="15" hidden="false" customHeight="false" outlineLevel="0" collapsed="false">
      <c r="A1507" s="0" t="n">
        <v>16.8</v>
      </c>
      <c r="B1507" s="0" t="n">
        <v>38.91</v>
      </c>
      <c r="C1507" s="0" t="n">
        <v>19.209</v>
      </c>
      <c r="D1507" s="0" t="n">
        <v>10.673</v>
      </c>
      <c r="E1507" s="0" t="n">
        <v>27.259</v>
      </c>
      <c r="F1507" s="0" t="n">
        <v>0.2205</v>
      </c>
      <c r="G1507" s="12" t="n">
        <f aca="false">(A1507+(C1507*D1507*COS(RADIANS(E1507))^2-F1507*C1507*D1507)*TAN(RADIANS(B1507)))/(C1507*D1507*SIN(RADIANS(E1507))*COS(RADIANS(E1507)))</f>
        <v>1.33075949763467</v>
      </c>
    </row>
    <row r="1508" customFormat="false" ht="15" hidden="false" customHeight="false" outlineLevel="0" collapsed="false">
      <c r="A1508" s="0" t="n">
        <v>17.253</v>
      </c>
      <c r="B1508" s="0" t="n">
        <v>31.317</v>
      </c>
      <c r="C1508" s="0" t="n">
        <v>20.715</v>
      </c>
      <c r="D1508" s="0" t="n">
        <v>15.889</v>
      </c>
      <c r="E1508" s="0" t="n">
        <v>26.42</v>
      </c>
      <c r="F1508" s="0" t="n">
        <v>0.2128</v>
      </c>
      <c r="G1508" s="12" t="n">
        <f aca="false">(A1508+(C1508*D1508*COS(RADIANS(E1508))^2-F1508*C1508*D1508)*TAN(RADIANS(B1508)))/(C1508*D1508*SIN(RADIANS(E1508))*COS(RADIANS(E1508)))</f>
        <v>1.03120430975723</v>
      </c>
    </row>
    <row r="1509" customFormat="false" ht="15" hidden="false" customHeight="false" outlineLevel="0" collapsed="false">
      <c r="A1509" s="0" t="n">
        <v>15.458</v>
      </c>
      <c r="B1509" s="0" t="n">
        <v>34.714</v>
      </c>
      <c r="C1509" s="0" t="n">
        <v>20.668</v>
      </c>
      <c r="D1509" s="0" t="n">
        <v>18.206</v>
      </c>
      <c r="E1509" s="0" t="n">
        <v>30.637</v>
      </c>
      <c r="F1509" s="0" t="n">
        <v>0.1251</v>
      </c>
      <c r="G1509" s="12" t="n">
        <f aca="false">(A1509+(C1509*D1509*COS(RADIANS(E1509))^2-F1509*C1509*D1509)*TAN(RADIANS(B1509)))/(C1509*D1509*SIN(RADIANS(E1509))*COS(RADIANS(E1509)))</f>
        <v>1.06575546167929</v>
      </c>
    </row>
    <row r="1510" customFormat="false" ht="15" hidden="false" customHeight="false" outlineLevel="0" collapsed="false">
      <c r="A1510" s="0" t="n">
        <v>16.32</v>
      </c>
      <c r="B1510" s="0" t="n">
        <v>32.747</v>
      </c>
      <c r="C1510" s="0" t="n">
        <v>20.493</v>
      </c>
      <c r="D1510" s="0" t="n">
        <v>16.882</v>
      </c>
      <c r="E1510" s="0" t="n">
        <v>27.794</v>
      </c>
      <c r="F1510" s="0" t="n">
        <v>0.2613</v>
      </c>
      <c r="G1510" s="12" t="n">
        <f aca="false">(A1510+(C1510*D1510*COS(RADIANS(E1510))^2-F1510*C1510*D1510)*TAN(RADIANS(B1510)))/(C1510*D1510*SIN(RADIANS(E1510))*COS(RADIANS(E1510)))</f>
        <v>0.927099217655103</v>
      </c>
    </row>
    <row r="1511" customFormat="false" ht="15" hidden="false" customHeight="false" outlineLevel="0" collapsed="false">
      <c r="A1511" s="0" t="n">
        <v>18.11</v>
      </c>
      <c r="B1511" s="0" t="n">
        <v>35.806</v>
      </c>
      <c r="C1511" s="0" t="n">
        <v>21.9</v>
      </c>
      <c r="D1511" s="0" t="n">
        <v>18.271</v>
      </c>
      <c r="E1511" s="0" t="n">
        <v>24.511</v>
      </c>
      <c r="F1511" s="0" t="n">
        <v>0.0113</v>
      </c>
      <c r="G1511" s="12" t="n">
        <f aca="false">(A1511+(C1511*D1511*COS(RADIANS(E1511))^2-F1511*C1511*D1511)*TAN(RADIANS(B1511)))/(C1511*D1511*SIN(RADIANS(E1511))*COS(RADIANS(E1511)))</f>
        <v>1.6804278903056</v>
      </c>
    </row>
    <row r="1512" customFormat="false" ht="15" hidden="false" customHeight="false" outlineLevel="0" collapsed="false">
      <c r="A1512" s="0" t="n">
        <v>11.762</v>
      </c>
      <c r="B1512" s="0" t="n">
        <v>43.763</v>
      </c>
      <c r="C1512" s="0" t="n">
        <v>20.787</v>
      </c>
      <c r="D1512" s="0" t="n">
        <v>16.114</v>
      </c>
      <c r="E1512" s="0" t="n">
        <v>30.739</v>
      </c>
      <c r="F1512" s="0" t="n">
        <v>0.0578</v>
      </c>
      <c r="G1512" s="12" t="n">
        <f aca="false">(A1512+(C1512*D1512*COS(RADIANS(E1512))^2-F1512*C1512*D1512)*TAN(RADIANS(B1512)))/(C1512*D1512*SIN(RADIANS(E1512))*COS(RADIANS(E1512)))</f>
        <v>1.56442095891172</v>
      </c>
    </row>
    <row r="1513" customFormat="false" ht="15" hidden="false" customHeight="false" outlineLevel="0" collapsed="false">
      <c r="A1513" s="0" t="n">
        <v>18.512</v>
      </c>
      <c r="B1513" s="0" t="n">
        <v>34.973</v>
      </c>
      <c r="C1513" s="0" t="n">
        <v>19.844</v>
      </c>
      <c r="D1513" s="0" t="n">
        <v>14.611</v>
      </c>
      <c r="E1513" s="0" t="n">
        <v>27.16</v>
      </c>
      <c r="F1513" s="0" t="n">
        <v>0.1504</v>
      </c>
      <c r="G1513" s="12" t="n">
        <f aca="false">(A1513+(C1513*D1513*COS(RADIANS(E1513))^2-F1513*C1513*D1513)*TAN(RADIANS(B1513)))/(C1513*D1513*SIN(RADIANS(E1513))*COS(RADIANS(E1513)))</f>
        <v>1.26159974106352</v>
      </c>
    </row>
    <row r="1514" customFormat="false" ht="15" hidden="false" customHeight="false" outlineLevel="0" collapsed="false">
      <c r="A1514" s="0" t="n">
        <v>9.508</v>
      </c>
      <c r="B1514" s="0" t="n">
        <v>34.496</v>
      </c>
      <c r="C1514" s="0" t="n">
        <v>19.917</v>
      </c>
      <c r="D1514" s="0" t="n">
        <v>13.705</v>
      </c>
      <c r="E1514" s="0" t="n">
        <v>26.557</v>
      </c>
      <c r="F1514" s="0" t="n">
        <v>0.2118</v>
      </c>
      <c r="G1514" s="12" t="n">
        <f aca="false">(A1514+(C1514*D1514*COS(RADIANS(E1514))^2-F1514*C1514*D1514)*TAN(RADIANS(B1514)))/(C1514*D1514*SIN(RADIANS(E1514))*COS(RADIANS(E1514)))</f>
        <v>1.09800165109556</v>
      </c>
    </row>
    <row r="1515" customFormat="false" ht="15" hidden="false" customHeight="false" outlineLevel="0" collapsed="false">
      <c r="A1515" s="0" t="n">
        <v>16.313</v>
      </c>
      <c r="B1515" s="0" t="n">
        <v>41.674</v>
      </c>
      <c r="C1515" s="0" t="n">
        <v>20.258</v>
      </c>
      <c r="D1515" s="0" t="n">
        <v>17.87</v>
      </c>
      <c r="E1515" s="0" t="n">
        <v>27.807</v>
      </c>
      <c r="F1515" s="0" t="n">
        <v>0.0695</v>
      </c>
      <c r="G1515" s="12" t="n">
        <f aca="false">(A1515+(C1515*D1515*COS(RADIANS(E1515))^2-F1515*C1515*D1515)*TAN(RADIANS(B1515)))/(C1515*D1515*SIN(RADIANS(E1515))*COS(RADIANS(E1515)))</f>
        <v>1.64710385040848</v>
      </c>
    </row>
    <row r="1516" customFormat="false" ht="15" hidden="false" customHeight="false" outlineLevel="0" collapsed="false">
      <c r="A1516" s="0" t="n">
        <v>15.715</v>
      </c>
      <c r="B1516" s="0" t="n">
        <v>35.593</v>
      </c>
      <c r="C1516" s="0" t="n">
        <v>20.334</v>
      </c>
      <c r="D1516" s="0" t="n">
        <v>16.49</v>
      </c>
      <c r="E1516" s="0" t="n">
        <v>28.821</v>
      </c>
      <c r="F1516" s="0" t="n">
        <v>0.049</v>
      </c>
      <c r="G1516" s="12" t="n">
        <f aca="false">(A1516+(C1516*D1516*COS(RADIANS(E1516))^2-F1516*C1516*D1516)*TAN(RADIANS(B1516)))/(C1516*D1516*SIN(RADIANS(E1516))*COS(RADIANS(E1516)))</f>
        <v>1.32873411450568</v>
      </c>
    </row>
    <row r="1517" customFormat="false" ht="15" hidden="false" customHeight="false" outlineLevel="0" collapsed="false">
      <c r="A1517" s="0" t="n">
        <v>12.535</v>
      </c>
      <c r="B1517" s="0" t="n">
        <v>33.116</v>
      </c>
      <c r="C1517" s="0" t="n">
        <v>19.347</v>
      </c>
      <c r="D1517" s="0" t="n">
        <v>16.871</v>
      </c>
      <c r="E1517" s="0" t="n">
        <v>23.974</v>
      </c>
      <c r="F1517" s="0" t="n">
        <v>0.213</v>
      </c>
      <c r="G1517" s="12" t="n">
        <f aca="false">(A1517+(C1517*D1517*COS(RADIANS(E1517))^2-F1517*C1517*D1517)*TAN(RADIANS(B1517)))/(C1517*D1517*SIN(RADIANS(E1517))*COS(RADIANS(E1517)))</f>
        <v>1.19607201429687</v>
      </c>
    </row>
    <row r="1518" customFormat="false" ht="15" hidden="false" customHeight="false" outlineLevel="0" collapsed="false">
      <c r="A1518" s="0" t="n">
        <v>14.909</v>
      </c>
      <c r="B1518" s="0" t="n">
        <v>30.046</v>
      </c>
      <c r="C1518" s="0" t="n">
        <v>20.289</v>
      </c>
      <c r="D1518" s="0" t="n">
        <v>16.841</v>
      </c>
      <c r="E1518" s="0" t="n">
        <v>28.169</v>
      </c>
      <c r="F1518" s="0" t="n">
        <v>0.1521</v>
      </c>
      <c r="G1518" s="12" t="n">
        <f aca="false">(A1518+(C1518*D1518*COS(RADIANS(E1518))^2-F1518*C1518*D1518)*TAN(RADIANS(B1518)))/(C1518*D1518*SIN(RADIANS(E1518))*COS(RADIANS(E1518)))</f>
        <v>0.973598111292506</v>
      </c>
    </row>
    <row r="1519" customFormat="false" ht="15" hidden="false" customHeight="false" outlineLevel="0" collapsed="false">
      <c r="A1519" s="0" t="n">
        <v>12.51</v>
      </c>
      <c r="B1519" s="0" t="n">
        <v>38.255</v>
      </c>
      <c r="C1519" s="0" t="n">
        <v>19.339</v>
      </c>
      <c r="D1519" s="0" t="n">
        <v>17.57</v>
      </c>
      <c r="E1519" s="0" t="n">
        <v>28.124</v>
      </c>
      <c r="F1519" s="0" t="n">
        <v>0.0321</v>
      </c>
      <c r="G1519" s="12" t="n">
        <f aca="false">(A1519+(C1519*D1519*COS(RADIANS(E1519))^2-F1519*C1519*D1519)*TAN(RADIANS(B1519)))/(C1519*D1519*SIN(RADIANS(E1519))*COS(RADIANS(E1519)))</f>
        <v>1.50288005720562</v>
      </c>
    </row>
    <row r="1520" customFormat="false" ht="15" hidden="false" customHeight="false" outlineLevel="0" collapsed="false">
      <c r="A1520" s="0" t="n">
        <v>10.713</v>
      </c>
      <c r="B1520" s="0" t="n">
        <v>31.434</v>
      </c>
      <c r="C1520" s="0" t="n">
        <v>18.71</v>
      </c>
      <c r="D1520" s="0" t="n">
        <v>13.951</v>
      </c>
      <c r="E1520" s="0" t="n">
        <v>26.416</v>
      </c>
      <c r="F1520" s="0" t="n">
        <v>0.1089</v>
      </c>
      <c r="G1520" s="12" t="n">
        <f aca="false">(A1520+(C1520*D1520*COS(RADIANS(E1520))^2-F1520*C1520*D1520)*TAN(RADIANS(B1520)))/(C1520*D1520*SIN(RADIANS(E1520))*COS(RADIANS(E1520)))</f>
        <v>1.16637771788043</v>
      </c>
    </row>
    <row r="1521" customFormat="false" ht="15" hidden="false" customHeight="false" outlineLevel="0" collapsed="false">
      <c r="A1521" s="0" t="n">
        <v>13.586</v>
      </c>
      <c r="B1521" s="0" t="n">
        <v>34.403</v>
      </c>
      <c r="C1521" s="0" t="n">
        <v>20.108</v>
      </c>
      <c r="D1521" s="0" t="n">
        <v>17.438</v>
      </c>
      <c r="E1521" s="0" t="n">
        <v>26.391</v>
      </c>
      <c r="F1521" s="0" t="n">
        <v>0.1994</v>
      </c>
      <c r="G1521" s="12" t="n">
        <f aca="false">(A1521+(C1521*D1521*COS(RADIANS(E1521))^2-F1521*C1521*D1521)*TAN(RADIANS(B1521)))/(C1521*D1521*SIN(RADIANS(E1521))*COS(RADIANS(E1521)))</f>
        <v>1.13441983162061</v>
      </c>
    </row>
    <row r="1522" customFormat="false" ht="15" hidden="false" customHeight="false" outlineLevel="0" collapsed="false">
      <c r="A1522" s="0" t="n">
        <v>10.584</v>
      </c>
      <c r="B1522" s="0" t="n">
        <v>36.288</v>
      </c>
      <c r="C1522" s="0" t="n">
        <v>18.737</v>
      </c>
      <c r="D1522" s="0" t="n">
        <v>19.213</v>
      </c>
      <c r="E1522" s="0" t="n">
        <v>29.405</v>
      </c>
      <c r="F1522" s="0" t="n">
        <v>0.0896</v>
      </c>
      <c r="G1522" s="12" t="n">
        <f aca="false">(A1522+(C1522*D1522*COS(RADIANS(E1522))^2-F1522*C1522*D1522)*TAN(RADIANS(B1522)))/(C1522*D1522*SIN(RADIANS(E1522))*COS(RADIANS(E1522)))</f>
        <v>1.21774534544834</v>
      </c>
    </row>
    <row r="1523" customFormat="false" ht="15" hidden="false" customHeight="false" outlineLevel="0" collapsed="false">
      <c r="A1523" s="0" t="n">
        <v>16.291</v>
      </c>
      <c r="B1523" s="0" t="n">
        <v>36.902</v>
      </c>
      <c r="C1523" s="0" t="n">
        <v>20.245</v>
      </c>
      <c r="D1523" s="0" t="n">
        <v>16.722</v>
      </c>
      <c r="E1523" s="0" t="n">
        <v>27.508</v>
      </c>
      <c r="F1523" s="0" t="n">
        <v>0.1733</v>
      </c>
      <c r="G1523" s="12" t="n">
        <f aca="false">(A1523+(C1523*D1523*COS(RADIANS(E1523))^2-F1523*C1523*D1523)*TAN(RADIANS(B1523)))/(C1523*D1523*SIN(RADIANS(E1523))*COS(RADIANS(E1523)))</f>
        <v>1.24174735175147</v>
      </c>
    </row>
    <row r="1524" customFormat="false" ht="15" hidden="false" customHeight="false" outlineLevel="0" collapsed="false">
      <c r="A1524" s="0" t="n">
        <v>10.4</v>
      </c>
      <c r="B1524" s="0" t="n">
        <v>30.067</v>
      </c>
      <c r="C1524" s="0" t="n">
        <v>19.007</v>
      </c>
      <c r="D1524" s="0" t="n">
        <v>11.049</v>
      </c>
      <c r="E1524" s="0" t="n">
        <v>28.354</v>
      </c>
      <c r="F1524" s="0" t="n">
        <v>0.1809</v>
      </c>
      <c r="G1524" s="12" t="n">
        <f aca="false">(A1524+(C1524*D1524*COS(RADIANS(E1524))^2-F1524*C1524*D1524)*TAN(RADIANS(B1524)))/(C1524*D1524*SIN(RADIANS(E1524))*COS(RADIANS(E1524)))</f>
        <v>0.940647084363118</v>
      </c>
    </row>
    <row r="1525" customFormat="false" ht="15" hidden="false" customHeight="false" outlineLevel="0" collapsed="false">
      <c r="A1525" s="0" t="n">
        <v>17.848</v>
      </c>
      <c r="B1525" s="0" t="n">
        <v>31.756</v>
      </c>
      <c r="C1525" s="0" t="n">
        <v>19.736</v>
      </c>
      <c r="D1525" s="0" t="n">
        <v>17.606</v>
      </c>
      <c r="E1525" s="0" t="n">
        <v>25.047</v>
      </c>
      <c r="F1525" s="0" t="n">
        <v>0.1251</v>
      </c>
      <c r="G1525" s="12" t="n">
        <f aca="false">(A1525+(C1525*D1525*COS(RADIANS(E1525))^2-F1525*C1525*D1525)*TAN(RADIANS(B1525)))/(C1525*D1525*SIN(RADIANS(E1525))*COS(RADIANS(E1525)))</f>
        <v>1.2565711551542</v>
      </c>
    </row>
    <row r="1526" customFormat="false" ht="15" hidden="false" customHeight="false" outlineLevel="0" collapsed="false">
      <c r="A1526" s="0" t="n">
        <v>10.274</v>
      </c>
      <c r="B1526" s="0" t="n">
        <v>35.656</v>
      </c>
      <c r="C1526" s="0" t="n">
        <v>19.09</v>
      </c>
      <c r="D1526" s="0" t="n">
        <v>14.014</v>
      </c>
      <c r="E1526" s="0" t="n">
        <v>24.914</v>
      </c>
      <c r="F1526" s="0" t="n">
        <v>0.1393</v>
      </c>
      <c r="G1526" s="12" t="n">
        <f aca="false">(A1526+(C1526*D1526*COS(RADIANS(E1526))^2-F1526*C1526*D1526)*TAN(RADIANS(B1526)))/(C1526*D1526*SIN(RADIANS(E1526))*COS(RADIANS(E1526)))</f>
        <v>1.38348339365192</v>
      </c>
    </row>
    <row r="1527" customFormat="false" ht="15" hidden="false" customHeight="false" outlineLevel="0" collapsed="false">
      <c r="A1527" s="0" t="n">
        <v>12.735</v>
      </c>
      <c r="B1527" s="0" t="n">
        <v>30.239</v>
      </c>
      <c r="C1527" s="0" t="n">
        <v>19.848</v>
      </c>
      <c r="D1527" s="0" t="n">
        <v>14.813</v>
      </c>
      <c r="E1527" s="0" t="n">
        <v>28.747</v>
      </c>
      <c r="F1527" s="0" t="n">
        <v>0.1622</v>
      </c>
      <c r="G1527" s="12" t="n">
        <f aca="false">(A1527+(C1527*D1527*COS(RADIANS(E1527))^2-F1527*C1527*D1527)*TAN(RADIANS(B1527)))/(C1527*D1527*SIN(RADIANS(E1527))*COS(RADIANS(E1527)))</f>
        <v>0.941158154259766</v>
      </c>
    </row>
    <row r="1528" customFormat="false" ht="15" hidden="false" customHeight="false" outlineLevel="0" collapsed="false">
      <c r="A1528" s="0" t="n">
        <v>12.502</v>
      </c>
      <c r="B1528" s="0" t="n">
        <v>37.04</v>
      </c>
      <c r="C1528" s="0" t="n">
        <v>20.991</v>
      </c>
      <c r="D1528" s="0" t="n">
        <v>13.272</v>
      </c>
      <c r="E1528" s="0" t="n">
        <v>31.718</v>
      </c>
      <c r="F1528" s="0" t="n">
        <v>0.1291</v>
      </c>
      <c r="G1528" s="12" t="n">
        <f aca="false">(A1528+(C1528*D1528*COS(RADIANS(E1528))^2-F1528*C1528*D1528)*TAN(RADIANS(B1528)))/(C1528*D1528*SIN(RADIANS(E1528))*COS(RADIANS(E1528)))</f>
        <v>1.10351950344156</v>
      </c>
    </row>
    <row r="1529" customFormat="false" ht="15" hidden="false" customHeight="false" outlineLevel="0" collapsed="false">
      <c r="A1529" s="0" t="n">
        <v>20.301</v>
      </c>
      <c r="B1529" s="0" t="n">
        <v>30.997</v>
      </c>
      <c r="C1529" s="0" t="n">
        <v>19.075</v>
      </c>
      <c r="D1529" s="0" t="n">
        <v>12.546</v>
      </c>
      <c r="E1529" s="0" t="n">
        <v>28.736</v>
      </c>
      <c r="F1529" s="0" t="n">
        <v>0.1481</v>
      </c>
      <c r="G1529" s="12" t="n">
        <f aca="false">(A1529+(C1529*D1529*COS(RADIANS(E1529))^2-F1529*C1529*D1529)*TAN(RADIANS(B1529)))/(C1529*D1529*SIN(RADIANS(E1529))*COS(RADIANS(E1529)))</f>
        <v>1.08589140985814</v>
      </c>
    </row>
    <row r="1530" customFormat="false" ht="15" hidden="false" customHeight="false" outlineLevel="0" collapsed="false">
      <c r="A1530" s="0" t="n">
        <v>16.321</v>
      </c>
      <c r="B1530" s="0" t="n">
        <v>34.11</v>
      </c>
      <c r="C1530" s="0" t="n">
        <v>20.38</v>
      </c>
      <c r="D1530" s="0" t="n">
        <v>16.85</v>
      </c>
      <c r="E1530" s="0" t="n">
        <v>29.01</v>
      </c>
      <c r="F1530" s="0" t="n">
        <v>0.0854</v>
      </c>
      <c r="G1530" s="12" t="n">
        <f aca="false">(A1530+(C1530*D1530*COS(RADIANS(E1530))^2-F1530*C1530*D1530)*TAN(RADIANS(B1530)))/(C1530*D1530*SIN(RADIANS(E1530))*COS(RADIANS(E1530)))</f>
        <v>1.19706833141374</v>
      </c>
    </row>
    <row r="1531" customFormat="false" ht="15" hidden="false" customHeight="false" outlineLevel="0" collapsed="false">
      <c r="A1531" s="0" t="n">
        <v>14.153</v>
      </c>
      <c r="B1531" s="0" t="n">
        <v>33.465</v>
      </c>
      <c r="C1531" s="0" t="n">
        <v>20.608</v>
      </c>
      <c r="D1531" s="0" t="n">
        <v>12.919</v>
      </c>
      <c r="E1531" s="0" t="n">
        <v>28.342</v>
      </c>
      <c r="F1531" s="0" t="n">
        <v>0.0977</v>
      </c>
      <c r="G1531" s="12" t="n">
        <f aca="false">(A1531+(C1531*D1531*COS(RADIANS(E1531))^2-F1531*C1531*D1531)*TAN(RADIANS(B1531)))/(C1531*D1531*SIN(RADIANS(E1531))*COS(RADIANS(E1531)))</f>
        <v>1.19813786816434</v>
      </c>
    </row>
    <row r="1532" customFormat="false" ht="15" hidden="false" customHeight="false" outlineLevel="0" collapsed="false">
      <c r="A1532" s="0" t="n">
        <v>16.995</v>
      </c>
      <c r="B1532" s="0" t="n">
        <v>37.364</v>
      </c>
      <c r="C1532" s="0" t="n">
        <v>18.842</v>
      </c>
      <c r="D1532" s="0" t="n">
        <v>17.64</v>
      </c>
      <c r="E1532" s="0" t="n">
        <v>27.008</v>
      </c>
      <c r="F1532" s="0" t="n">
        <v>0.2697</v>
      </c>
      <c r="G1532" s="12" t="n">
        <f aca="false">(A1532+(C1532*D1532*COS(RADIANS(E1532))^2-F1532*C1532*D1532)*TAN(RADIANS(B1532)))/(C1532*D1532*SIN(RADIANS(E1532))*COS(RADIANS(E1532)))</f>
        <v>1.1154485848437</v>
      </c>
    </row>
    <row r="1533" customFormat="false" ht="15" hidden="false" customHeight="false" outlineLevel="0" collapsed="false">
      <c r="A1533" s="0" t="n">
        <v>6.571</v>
      </c>
      <c r="B1533" s="0" t="n">
        <v>33.417</v>
      </c>
      <c r="C1533" s="0" t="n">
        <v>21.017</v>
      </c>
      <c r="D1533" s="0" t="n">
        <v>13.646</v>
      </c>
      <c r="E1533" s="0" t="n">
        <v>24.87</v>
      </c>
      <c r="F1533" s="0" t="n">
        <v>0.1129</v>
      </c>
      <c r="G1533" s="12" t="n">
        <f aca="false">(A1533+(C1533*D1533*COS(RADIANS(E1533))^2-F1533*C1533*D1533)*TAN(RADIANS(B1533)))/(C1533*D1533*SIN(RADIANS(E1533))*COS(RADIANS(E1533)))</f>
        <v>1.28819498012754</v>
      </c>
    </row>
    <row r="1534" customFormat="false" ht="15" hidden="false" customHeight="false" outlineLevel="0" collapsed="false">
      <c r="A1534" s="0" t="n">
        <v>14.827</v>
      </c>
      <c r="B1534" s="0" t="n">
        <v>37.116</v>
      </c>
      <c r="C1534" s="0" t="n">
        <v>20.588</v>
      </c>
      <c r="D1534" s="0" t="n">
        <v>18.482</v>
      </c>
      <c r="E1534" s="0" t="n">
        <v>26.703</v>
      </c>
      <c r="F1534" s="0" t="n">
        <v>0.0623</v>
      </c>
      <c r="G1534" s="12" t="n">
        <f aca="false">(A1534+(C1534*D1534*COS(RADIANS(E1534))^2-F1534*C1534*D1534)*TAN(RADIANS(B1534)))/(C1534*D1534*SIN(RADIANS(E1534))*COS(RADIANS(E1534)))</f>
        <v>1.48402824279765</v>
      </c>
    </row>
    <row r="1535" customFormat="false" ht="15" hidden="false" customHeight="false" outlineLevel="0" collapsed="false">
      <c r="A1535" s="0" t="n">
        <v>22.99</v>
      </c>
      <c r="B1535" s="0" t="n">
        <v>38.437</v>
      </c>
      <c r="C1535" s="0" t="n">
        <v>20.72</v>
      </c>
      <c r="D1535" s="0" t="n">
        <v>22.897</v>
      </c>
      <c r="E1535" s="0" t="n">
        <v>26.581</v>
      </c>
      <c r="F1535" s="0" t="n">
        <v>0.1708</v>
      </c>
      <c r="G1535" s="12" t="n">
        <f aca="false">(A1535+(C1535*D1535*COS(RADIANS(E1535))^2-F1535*C1535*D1535)*TAN(RADIANS(B1535)))/(C1535*D1535*SIN(RADIANS(E1535))*COS(RADIANS(E1535)))</f>
        <v>1.36853251266697</v>
      </c>
    </row>
    <row r="1536" customFormat="false" ht="15" hidden="false" customHeight="false" outlineLevel="0" collapsed="false">
      <c r="A1536" s="0" t="n">
        <v>15.529</v>
      </c>
      <c r="B1536" s="0" t="n">
        <v>34.864</v>
      </c>
      <c r="C1536" s="0" t="n">
        <v>20.448</v>
      </c>
      <c r="D1536" s="0" t="n">
        <v>10.17</v>
      </c>
      <c r="E1536" s="0" t="n">
        <v>30.263</v>
      </c>
      <c r="F1536" s="0" t="n">
        <v>0</v>
      </c>
      <c r="G1536" s="12" t="n">
        <f aca="false">(A1536+(C1536*D1536*COS(RADIANS(E1536))^2-F1536*C1536*D1536)*TAN(RADIANS(B1536)))/(C1536*D1536*SIN(RADIANS(E1536))*COS(RADIANS(E1536)))</f>
        <v>1.36553851201128</v>
      </c>
    </row>
    <row r="1537" customFormat="false" ht="15" hidden="false" customHeight="false" outlineLevel="0" collapsed="false">
      <c r="A1537" s="0" t="n">
        <v>15.272</v>
      </c>
      <c r="B1537" s="0" t="n">
        <v>35.717</v>
      </c>
      <c r="C1537" s="0" t="n">
        <v>19.999</v>
      </c>
      <c r="D1537" s="0" t="n">
        <v>17.599</v>
      </c>
      <c r="E1537" s="0" t="n">
        <v>29.425</v>
      </c>
      <c r="F1537" s="0" t="n">
        <v>0.1867</v>
      </c>
      <c r="G1537" s="12" t="n">
        <f aca="false">(A1537+(C1537*D1537*COS(RADIANS(E1537))^2-F1537*C1537*D1537)*TAN(RADIANS(B1537)))/(C1537*D1537*SIN(RADIANS(E1537))*COS(RADIANS(E1537)))</f>
        <v>1.06244587351951</v>
      </c>
    </row>
    <row r="1538" customFormat="false" ht="15" hidden="false" customHeight="false" outlineLevel="0" collapsed="false">
      <c r="A1538" s="0" t="n">
        <v>17.193</v>
      </c>
      <c r="B1538" s="0" t="n">
        <v>32.895</v>
      </c>
      <c r="C1538" s="0" t="n">
        <v>20.807</v>
      </c>
      <c r="D1538" s="0" t="n">
        <v>15.864</v>
      </c>
      <c r="E1538" s="0" t="n">
        <v>26.301</v>
      </c>
      <c r="F1538" s="0" t="n">
        <v>0.2755</v>
      </c>
      <c r="G1538" s="12" t="n">
        <f aca="false">(A1538+(C1538*D1538*COS(RADIANS(E1538))^2-F1538*C1538*D1538)*TAN(RADIANS(B1538)))/(C1538*D1538*SIN(RADIANS(E1538))*COS(RADIANS(E1538)))</f>
        <v>0.991175746464511</v>
      </c>
    </row>
    <row r="1539" customFormat="false" ht="15" hidden="false" customHeight="false" outlineLevel="0" collapsed="false">
      <c r="A1539" s="0" t="n">
        <v>18.582</v>
      </c>
      <c r="B1539" s="0" t="n">
        <v>31.663</v>
      </c>
      <c r="C1539" s="0" t="n">
        <v>20.221</v>
      </c>
      <c r="D1539" s="0" t="n">
        <v>11.451</v>
      </c>
      <c r="E1539" s="0" t="n">
        <v>29.405</v>
      </c>
      <c r="F1539" s="0" t="n">
        <v>0.2663</v>
      </c>
      <c r="G1539" s="12" t="n">
        <f aca="false">(A1539+(C1539*D1539*COS(RADIANS(E1539))^2-F1539*C1539*D1539)*TAN(RADIANS(B1539)))/(C1539*D1539*SIN(RADIANS(E1539))*COS(RADIANS(E1539)))</f>
        <v>0.897933982728846</v>
      </c>
    </row>
    <row r="1540" customFormat="false" ht="15" hidden="false" customHeight="false" outlineLevel="0" collapsed="false">
      <c r="A1540" s="0" t="n">
        <v>7.01</v>
      </c>
      <c r="B1540" s="0" t="n">
        <v>31.124</v>
      </c>
      <c r="C1540" s="0" t="n">
        <v>19.696</v>
      </c>
      <c r="D1540" s="0" t="n">
        <v>18.632</v>
      </c>
      <c r="E1540" s="0" t="n">
        <v>29.189</v>
      </c>
      <c r="F1540" s="0" t="n">
        <v>0.2127</v>
      </c>
      <c r="G1540" s="12" t="n">
        <f aca="false">(A1540+(C1540*D1540*COS(RADIANS(E1540))^2-F1540*C1540*D1540)*TAN(RADIANS(B1540)))/(C1540*D1540*SIN(RADIANS(E1540))*COS(RADIANS(E1540)))</f>
        <v>0.824095843679615</v>
      </c>
    </row>
    <row r="1541" customFormat="false" ht="15" hidden="false" customHeight="false" outlineLevel="0" collapsed="false">
      <c r="A1541" s="0" t="n">
        <v>8.271</v>
      </c>
      <c r="B1541" s="0" t="n">
        <v>35.289</v>
      </c>
      <c r="C1541" s="0" t="n">
        <v>19.323</v>
      </c>
      <c r="D1541" s="0" t="n">
        <v>18.986</v>
      </c>
      <c r="E1541" s="0" t="n">
        <v>28.755</v>
      </c>
      <c r="F1541" s="0" t="n">
        <v>0.1292</v>
      </c>
      <c r="G1541" s="12" t="n">
        <f aca="false">(A1541+(C1541*D1541*COS(RADIANS(E1541))^2-F1541*C1541*D1541)*TAN(RADIANS(B1541)))/(C1541*D1541*SIN(RADIANS(E1541))*COS(RADIANS(E1541)))</f>
        <v>1.12643186103577</v>
      </c>
    </row>
    <row r="1542" customFormat="false" ht="15" hidden="false" customHeight="false" outlineLevel="0" collapsed="false">
      <c r="A1542" s="0" t="n">
        <v>15.841</v>
      </c>
      <c r="B1542" s="0" t="n">
        <v>33.265</v>
      </c>
      <c r="C1542" s="0" t="n">
        <v>19.043</v>
      </c>
      <c r="D1542" s="0" t="n">
        <v>18.808</v>
      </c>
      <c r="E1542" s="0" t="n">
        <v>28.663</v>
      </c>
      <c r="F1542" s="0" t="n">
        <v>0.2723</v>
      </c>
      <c r="G1542" s="12" t="n">
        <f aca="false">(A1542+(C1542*D1542*COS(RADIANS(E1542))^2-F1542*C1542*D1542)*TAN(RADIANS(B1542)))/(C1542*D1542*SIN(RADIANS(E1542))*COS(RADIANS(E1542)))</f>
        <v>0.880718693184758</v>
      </c>
    </row>
    <row r="1543" customFormat="false" ht="15" hidden="false" customHeight="false" outlineLevel="0" collapsed="false">
      <c r="A1543" s="0" t="n">
        <v>12.14</v>
      </c>
      <c r="B1543" s="0" t="n">
        <v>36.255</v>
      </c>
      <c r="C1543" s="0" t="n">
        <v>18.616</v>
      </c>
      <c r="D1543" s="0" t="n">
        <v>14.135</v>
      </c>
      <c r="E1543" s="0" t="n">
        <v>27.809</v>
      </c>
      <c r="F1543" s="0" t="n">
        <v>0.1749</v>
      </c>
      <c r="G1543" s="12" t="n">
        <f aca="false">(A1543+(C1543*D1543*COS(RADIANS(E1543))^2-F1543*C1543*D1543)*TAN(RADIANS(B1543)))/(C1543*D1543*SIN(RADIANS(E1543))*COS(RADIANS(E1543)))</f>
        <v>1.19138775069671</v>
      </c>
    </row>
    <row r="1544" customFormat="false" ht="15" hidden="false" customHeight="false" outlineLevel="0" collapsed="false">
      <c r="A1544" s="0" t="n">
        <v>20.248</v>
      </c>
      <c r="B1544" s="0" t="n">
        <v>34.103</v>
      </c>
      <c r="C1544" s="0" t="n">
        <v>20.661</v>
      </c>
      <c r="D1544" s="0" t="n">
        <v>12.285</v>
      </c>
      <c r="E1544" s="0" t="n">
        <v>29.033</v>
      </c>
      <c r="F1544" s="0" t="n">
        <v>0.0975</v>
      </c>
      <c r="G1544" s="12" t="n">
        <f aca="false">(A1544+(C1544*D1544*COS(RADIANS(E1544))^2-F1544*C1544*D1544)*TAN(RADIANS(B1544)))/(C1544*D1544*SIN(RADIANS(E1544))*COS(RADIANS(E1544)))</f>
        <v>1.25232362810566</v>
      </c>
    </row>
    <row r="1545" customFormat="false" ht="15" hidden="false" customHeight="false" outlineLevel="0" collapsed="false">
      <c r="A1545" s="0" t="n">
        <v>13.739</v>
      </c>
      <c r="B1545" s="0" t="n">
        <v>33.48</v>
      </c>
      <c r="C1545" s="0" t="n">
        <v>21.5</v>
      </c>
      <c r="D1545" s="0" t="n">
        <v>14.607</v>
      </c>
      <c r="E1545" s="0" t="n">
        <v>31.152</v>
      </c>
      <c r="F1545" s="0" t="n">
        <v>0.0874</v>
      </c>
      <c r="G1545" s="12" t="n">
        <f aca="false">(A1545+(C1545*D1545*COS(RADIANS(E1545))^2-F1545*C1545*D1545)*TAN(RADIANS(B1545)))/(C1545*D1545*SIN(RADIANS(E1545))*COS(RADIANS(E1545)))</f>
        <v>1.06238950039784</v>
      </c>
    </row>
    <row r="1546" customFormat="false" ht="15" hidden="false" customHeight="false" outlineLevel="0" collapsed="false">
      <c r="A1546" s="0" t="n">
        <v>7.262</v>
      </c>
      <c r="B1546" s="0" t="n">
        <v>34.403</v>
      </c>
      <c r="C1546" s="0" t="n">
        <v>20.043</v>
      </c>
      <c r="D1546" s="0" t="n">
        <v>14.34</v>
      </c>
      <c r="E1546" s="0" t="n">
        <v>28.903</v>
      </c>
      <c r="F1546" s="0" t="n">
        <v>0.2261</v>
      </c>
      <c r="G1546" s="12" t="n">
        <f aca="false">(A1546+(C1546*D1546*COS(RADIANS(E1546))^2-F1546*C1546*D1546)*TAN(RADIANS(B1546)))/(C1546*D1546*SIN(RADIANS(E1546))*COS(RADIANS(E1546)))</f>
        <v>0.934133891217561</v>
      </c>
    </row>
    <row r="1547" customFormat="false" ht="15" hidden="false" customHeight="false" outlineLevel="0" collapsed="false">
      <c r="A1547" s="0" t="n">
        <v>9.928</v>
      </c>
      <c r="B1547" s="0" t="n">
        <v>28.601</v>
      </c>
      <c r="C1547" s="0" t="n">
        <v>20.924</v>
      </c>
      <c r="D1547" s="0" t="n">
        <v>17.664</v>
      </c>
      <c r="E1547" s="0" t="n">
        <v>29.729</v>
      </c>
      <c r="F1547" s="0" t="n">
        <v>0.1211</v>
      </c>
      <c r="G1547" s="12" t="n">
        <f aca="false">(A1547+(C1547*D1547*COS(RADIANS(E1547))^2-F1547*C1547*D1547)*TAN(RADIANS(B1547)))/(C1547*D1547*SIN(RADIANS(E1547))*COS(RADIANS(E1547)))</f>
        <v>0.863831173096234</v>
      </c>
    </row>
    <row r="1548" customFormat="false" ht="15" hidden="false" customHeight="false" outlineLevel="0" collapsed="false">
      <c r="A1548" s="0" t="n">
        <v>4.001</v>
      </c>
      <c r="B1548" s="0" t="n">
        <v>37.74</v>
      </c>
      <c r="C1548" s="0" t="n">
        <v>19.095</v>
      </c>
      <c r="D1548" s="0" t="n">
        <v>19.013</v>
      </c>
      <c r="E1548" s="0" t="n">
        <v>28.288</v>
      </c>
      <c r="F1548" s="0" t="n">
        <v>0.0281</v>
      </c>
      <c r="G1548" s="12" t="n">
        <f aca="false">(A1548+(C1548*D1548*COS(RADIANS(E1548))^2-F1548*C1548*D1548)*TAN(RADIANS(B1548)))/(C1548*D1548*SIN(RADIANS(E1548))*COS(RADIANS(E1548)))</f>
        <v>1.41249202410549</v>
      </c>
    </row>
    <row r="1549" customFormat="false" ht="15" hidden="false" customHeight="false" outlineLevel="0" collapsed="false">
      <c r="A1549" s="0" t="n">
        <v>14.063</v>
      </c>
      <c r="B1549" s="0" t="n">
        <v>33.907</v>
      </c>
      <c r="C1549" s="0" t="n">
        <v>21.991</v>
      </c>
      <c r="D1549" s="0" t="n">
        <v>13.294</v>
      </c>
      <c r="E1549" s="0" t="n">
        <v>27.537</v>
      </c>
      <c r="F1549" s="0" t="n">
        <v>0.2137</v>
      </c>
      <c r="G1549" s="12" t="n">
        <f aca="false">(A1549+(C1549*D1549*COS(RADIANS(E1549))^2-F1549*C1549*D1549)*TAN(RADIANS(B1549)))/(C1549*D1549*SIN(RADIANS(E1549))*COS(RADIANS(E1549)))</f>
        <v>1.05611156097881</v>
      </c>
    </row>
    <row r="1550" customFormat="false" ht="15" hidden="false" customHeight="false" outlineLevel="0" collapsed="false">
      <c r="A1550" s="0" t="n">
        <v>14.246</v>
      </c>
      <c r="B1550" s="0" t="n">
        <v>33.807</v>
      </c>
      <c r="C1550" s="0" t="n">
        <v>21.846</v>
      </c>
      <c r="D1550" s="0" t="n">
        <v>15.066</v>
      </c>
      <c r="E1550" s="0" t="n">
        <v>29.217</v>
      </c>
      <c r="F1550" s="0" t="n">
        <v>0.1635</v>
      </c>
      <c r="G1550" s="12" t="n">
        <f aca="false">(A1550+(C1550*D1550*COS(RADIANS(E1550))^2-F1550*C1550*D1550)*TAN(RADIANS(B1550)))/(C1550*D1550*SIN(RADIANS(E1550))*COS(RADIANS(E1550)))</f>
        <v>1.04191706822545</v>
      </c>
    </row>
    <row r="1551" customFormat="false" ht="15" hidden="false" customHeight="false" outlineLevel="0" collapsed="false">
      <c r="A1551" s="0" t="n">
        <v>13.302</v>
      </c>
      <c r="B1551" s="0" t="n">
        <v>39.763</v>
      </c>
      <c r="C1551" s="0" t="n">
        <v>18.637</v>
      </c>
      <c r="D1551" s="0" t="n">
        <v>13.075</v>
      </c>
      <c r="E1551" s="0" t="n">
        <v>25.986</v>
      </c>
      <c r="F1551" s="0" t="n">
        <v>0.2077</v>
      </c>
      <c r="G1551" s="12" t="n">
        <f aca="false">(A1551+(C1551*D1551*COS(RADIANS(E1551))^2-F1551*C1551*D1551)*TAN(RADIANS(B1551)))/(C1551*D1551*SIN(RADIANS(E1551))*COS(RADIANS(E1551)))</f>
        <v>1.40686915474899</v>
      </c>
    </row>
    <row r="1552" customFormat="false" ht="15" hidden="false" customHeight="false" outlineLevel="0" collapsed="false">
      <c r="A1552" s="0" t="n">
        <v>19.316</v>
      </c>
      <c r="B1552" s="0" t="n">
        <v>34.029</v>
      </c>
      <c r="C1552" s="0" t="n">
        <v>19.533</v>
      </c>
      <c r="D1552" s="0" t="n">
        <v>13.339</v>
      </c>
      <c r="E1552" s="0" t="n">
        <v>25.308</v>
      </c>
      <c r="F1552" s="0" t="n">
        <v>0.13</v>
      </c>
      <c r="G1552" s="12" t="n">
        <f aca="false">(A1552+(C1552*D1552*COS(RADIANS(E1552))^2-F1552*C1552*D1552)*TAN(RADIANS(B1552)))/(C1552*D1552*SIN(RADIANS(E1552))*COS(RADIANS(E1552)))</f>
        <v>1.39266397155867</v>
      </c>
    </row>
    <row r="1553" customFormat="false" ht="15" hidden="false" customHeight="false" outlineLevel="0" collapsed="false">
      <c r="A1553" s="0" t="n">
        <v>19.794</v>
      </c>
      <c r="B1553" s="0" t="n">
        <v>36.749</v>
      </c>
      <c r="C1553" s="0" t="n">
        <v>19.424</v>
      </c>
      <c r="D1553" s="0" t="n">
        <v>14.686</v>
      </c>
      <c r="E1553" s="0" t="n">
        <v>21.056</v>
      </c>
      <c r="F1553" s="0" t="n">
        <v>0.1968</v>
      </c>
      <c r="G1553" s="12" t="n">
        <f aca="false">(A1553+(C1553*D1553*COS(RADIANS(E1553))^2-F1553*C1553*D1553)*TAN(RADIANS(B1553)))/(C1553*D1553*SIN(RADIANS(E1553))*COS(RADIANS(E1553)))</f>
        <v>1.70824256083707</v>
      </c>
    </row>
    <row r="1554" customFormat="false" ht="15" hidden="false" customHeight="false" outlineLevel="0" collapsed="false">
      <c r="A1554" s="0" t="n">
        <v>14.318</v>
      </c>
      <c r="B1554" s="0" t="n">
        <v>29.081</v>
      </c>
      <c r="C1554" s="0" t="n">
        <v>20.35</v>
      </c>
      <c r="D1554" s="0" t="n">
        <v>15.781</v>
      </c>
      <c r="E1554" s="0" t="n">
        <v>28.223</v>
      </c>
      <c r="F1554" s="0" t="n">
        <v>0.2102</v>
      </c>
      <c r="G1554" s="12" t="n">
        <f aca="false">(A1554+(C1554*D1554*COS(RADIANS(E1554))^2-F1554*C1554*D1554)*TAN(RADIANS(B1554)))/(C1554*D1554*SIN(RADIANS(E1554))*COS(RADIANS(E1554)))</f>
        <v>0.862670803798602</v>
      </c>
    </row>
    <row r="1555" customFormat="false" ht="15" hidden="false" customHeight="false" outlineLevel="0" collapsed="false">
      <c r="A1555" s="0" t="n">
        <v>6.461</v>
      </c>
      <c r="B1555" s="0" t="n">
        <v>33.08</v>
      </c>
      <c r="C1555" s="0" t="n">
        <v>20.953</v>
      </c>
      <c r="D1555" s="0" t="n">
        <v>16.982</v>
      </c>
      <c r="E1555" s="0" t="n">
        <v>26.077</v>
      </c>
      <c r="F1555" s="0" t="n">
        <v>0.1174</v>
      </c>
      <c r="G1555" s="12" t="n">
        <f aca="false">(A1555+(C1555*D1555*COS(RADIANS(E1555))^2-F1555*C1555*D1555)*TAN(RADIANS(B1555)))/(C1555*D1555*SIN(RADIANS(E1555))*COS(RADIANS(E1555)))</f>
        <v>1.18331561717473</v>
      </c>
    </row>
    <row r="1556" customFormat="false" ht="15" hidden="false" customHeight="false" outlineLevel="0" collapsed="false">
      <c r="A1556" s="0" t="n">
        <v>17.469</v>
      </c>
      <c r="B1556" s="0" t="n">
        <v>38.442</v>
      </c>
      <c r="C1556" s="0" t="n">
        <v>20.558</v>
      </c>
      <c r="D1556" s="0" t="n">
        <v>20.106</v>
      </c>
      <c r="E1556" s="0" t="n">
        <v>28.313</v>
      </c>
      <c r="F1556" s="0" t="n">
        <v>0.1774</v>
      </c>
      <c r="G1556" s="12" t="n">
        <f aca="false">(A1556+(C1556*D1556*COS(RADIANS(E1556))^2-F1556*C1556*D1556)*TAN(RADIANS(B1556)))/(C1556*D1556*SIN(RADIANS(E1556))*COS(RADIANS(E1556)))</f>
        <v>1.2373862464798</v>
      </c>
    </row>
    <row r="1557" customFormat="false" ht="15" hidden="false" customHeight="false" outlineLevel="0" collapsed="false">
      <c r="A1557" s="0" t="n">
        <v>17.221</v>
      </c>
      <c r="B1557" s="0" t="n">
        <v>37.601</v>
      </c>
      <c r="C1557" s="0" t="n">
        <v>18.862</v>
      </c>
      <c r="D1557" s="0" t="n">
        <v>14.785</v>
      </c>
      <c r="E1557" s="0" t="n">
        <v>28.061</v>
      </c>
      <c r="F1557" s="0" t="n">
        <v>0.1653</v>
      </c>
      <c r="G1557" s="12" t="n">
        <f aca="false">(A1557+(C1557*D1557*COS(RADIANS(E1557))^2-F1557*C1557*D1557)*TAN(RADIANS(B1557)))/(C1557*D1557*SIN(RADIANS(E1557))*COS(RADIANS(E1557)))</f>
        <v>1.28678289596215</v>
      </c>
    </row>
    <row r="1558" customFormat="false" ht="15" hidden="false" customHeight="false" outlineLevel="0" collapsed="false">
      <c r="A1558" s="0" t="n">
        <v>16.238</v>
      </c>
      <c r="B1558" s="0" t="n">
        <v>37.008</v>
      </c>
      <c r="C1558" s="0" t="n">
        <v>19.655</v>
      </c>
      <c r="D1558" s="0" t="n">
        <v>14.549</v>
      </c>
      <c r="E1558" s="0" t="n">
        <v>26.116</v>
      </c>
      <c r="F1558" s="0" t="n">
        <v>0.0675</v>
      </c>
      <c r="G1558" s="12" t="n">
        <f aca="false">(A1558+(C1558*D1558*COS(RADIANS(E1558))^2-F1558*C1558*D1558)*TAN(RADIANS(B1558)))/(C1558*D1558*SIN(RADIANS(E1558))*COS(RADIANS(E1558)))</f>
        <v>1.55249353059403</v>
      </c>
    </row>
    <row r="1559" customFormat="false" ht="15" hidden="false" customHeight="false" outlineLevel="0" collapsed="false">
      <c r="A1559" s="0" t="n">
        <v>18.926</v>
      </c>
      <c r="B1559" s="0" t="n">
        <v>32.559</v>
      </c>
      <c r="C1559" s="0" t="n">
        <v>20.31</v>
      </c>
      <c r="D1559" s="0" t="n">
        <v>8.074</v>
      </c>
      <c r="E1559" s="0" t="n">
        <v>25.552</v>
      </c>
      <c r="F1559" s="0" t="n">
        <v>0.205</v>
      </c>
      <c r="G1559" s="12" t="n">
        <f aca="false">(A1559+(C1559*D1559*COS(RADIANS(E1559))^2-F1559*C1559*D1559)*TAN(RADIANS(B1559)))/(C1559*D1559*SIN(RADIANS(E1559))*COS(RADIANS(E1559)))</f>
        <v>1.29577730268105</v>
      </c>
    </row>
    <row r="1560" customFormat="false" ht="15" hidden="false" customHeight="false" outlineLevel="0" collapsed="false">
      <c r="A1560" s="0" t="n">
        <v>10.341</v>
      </c>
      <c r="B1560" s="0" t="n">
        <v>35.681</v>
      </c>
      <c r="C1560" s="0" t="n">
        <v>21.714</v>
      </c>
      <c r="D1560" s="0" t="n">
        <v>15.347</v>
      </c>
      <c r="E1560" s="0" t="n">
        <v>28.703</v>
      </c>
      <c r="F1560" s="0" t="n">
        <v>0.1387</v>
      </c>
      <c r="G1560" s="12" t="n">
        <f aca="false">(A1560+(C1560*D1560*COS(RADIANS(E1560))^2-F1560*C1560*D1560)*TAN(RADIANS(B1560)))/(C1560*D1560*SIN(RADIANS(E1560))*COS(RADIANS(E1560)))</f>
        <v>1.1486549069717</v>
      </c>
    </row>
    <row r="1561" customFormat="false" ht="15" hidden="false" customHeight="false" outlineLevel="0" collapsed="false">
      <c r="A1561" s="0" t="n">
        <v>23.035</v>
      </c>
      <c r="B1561" s="0" t="n">
        <v>33.821</v>
      </c>
      <c r="C1561" s="0" t="n">
        <v>18.474</v>
      </c>
      <c r="D1561" s="0" t="n">
        <v>15.512</v>
      </c>
      <c r="E1561" s="0" t="n">
        <v>24.668</v>
      </c>
      <c r="F1561" s="0" t="n">
        <v>0.2017</v>
      </c>
      <c r="G1561" s="12" t="n">
        <f aca="false">(A1561+(C1561*D1561*COS(RADIANS(E1561))^2-F1561*C1561*D1561)*TAN(RADIANS(B1561)))/(C1561*D1561*SIN(RADIANS(E1561))*COS(RADIANS(E1561)))</f>
        <v>1.31441129357906</v>
      </c>
    </row>
    <row r="1562" customFormat="false" ht="15" hidden="false" customHeight="false" outlineLevel="0" collapsed="false">
      <c r="A1562" s="0" t="n">
        <v>11.162</v>
      </c>
      <c r="B1562" s="0" t="n">
        <v>36.029</v>
      </c>
      <c r="C1562" s="0" t="n">
        <v>19.809</v>
      </c>
      <c r="D1562" s="0" t="n">
        <v>19.528</v>
      </c>
      <c r="E1562" s="0" t="n">
        <v>31.304</v>
      </c>
      <c r="F1562" s="0" t="n">
        <v>0.1978</v>
      </c>
      <c r="G1562" s="12" t="n">
        <f aca="false">(A1562+(C1562*D1562*COS(RADIANS(E1562))^2-F1562*C1562*D1562)*TAN(RADIANS(B1562)))/(C1562*D1562*SIN(RADIANS(E1562))*COS(RADIANS(E1562)))</f>
        <v>0.936974437451792</v>
      </c>
    </row>
    <row r="1563" customFormat="false" ht="15" hidden="false" customHeight="false" outlineLevel="0" collapsed="false">
      <c r="A1563" s="0" t="n">
        <v>17.997</v>
      </c>
      <c r="B1563" s="0" t="n">
        <v>37.646</v>
      </c>
      <c r="C1563" s="0" t="n">
        <v>18.807</v>
      </c>
      <c r="D1563" s="0" t="n">
        <v>7.394</v>
      </c>
      <c r="E1563" s="0" t="n">
        <v>28.862</v>
      </c>
      <c r="F1563" s="0" t="n">
        <v>0.0494</v>
      </c>
      <c r="G1563" s="12" t="n">
        <f aca="false">(A1563+(C1563*D1563*COS(RADIANS(E1563))^2-F1563*C1563*D1563)*TAN(RADIANS(B1563)))/(C1563*D1563*SIN(RADIANS(E1563))*COS(RADIANS(E1563)))</f>
        <v>1.61555447702521</v>
      </c>
    </row>
    <row r="1564" customFormat="false" ht="15" hidden="false" customHeight="false" outlineLevel="0" collapsed="false">
      <c r="A1564" s="0" t="n">
        <v>8.251</v>
      </c>
      <c r="B1564" s="0" t="n">
        <v>35.581</v>
      </c>
      <c r="C1564" s="0" t="n">
        <v>20.219</v>
      </c>
      <c r="D1564" s="0" t="n">
        <v>14.507</v>
      </c>
      <c r="E1564" s="0" t="n">
        <v>24.903</v>
      </c>
      <c r="F1564" s="0" t="n">
        <v>0.1047</v>
      </c>
      <c r="G1564" s="12" t="n">
        <f aca="false">(A1564+(C1564*D1564*COS(RADIANS(E1564))^2-F1564*C1564*D1564)*TAN(RADIANS(B1564)))/(C1564*D1564*SIN(RADIANS(E1564))*COS(RADIANS(E1564)))</f>
        <v>1.41857641890495</v>
      </c>
    </row>
    <row r="1565" customFormat="false" ht="15" hidden="false" customHeight="false" outlineLevel="0" collapsed="false">
      <c r="A1565" s="0" t="n">
        <v>11.279</v>
      </c>
      <c r="B1565" s="0" t="n">
        <v>38.144</v>
      </c>
      <c r="C1565" s="0" t="n">
        <v>19.395</v>
      </c>
      <c r="D1565" s="0" t="n">
        <v>15.734</v>
      </c>
      <c r="E1565" s="0" t="n">
        <v>29.775</v>
      </c>
      <c r="F1565" s="0" t="n">
        <v>0.0848</v>
      </c>
      <c r="G1565" s="12" t="n">
        <f aca="false">(A1565+(C1565*D1565*COS(RADIANS(E1565))^2-F1565*C1565*D1565)*TAN(RADIANS(B1565)))/(C1565*D1565*SIN(RADIANS(E1565))*COS(RADIANS(E1565)))</f>
        <v>1.30391564646568</v>
      </c>
    </row>
    <row r="1566" customFormat="false" ht="15" hidden="false" customHeight="false" outlineLevel="0" collapsed="false">
      <c r="A1566" s="0" t="n">
        <v>21.065</v>
      </c>
      <c r="B1566" s="0" t="n">
        <v>38.327</v>
      </c>
      <c r="C1566" s="0" t="n">
        <v>19.591</v>
      </c>
      <c r="D1566" s="0" t="n">
        <v>17.994</v>
      </c>
      <c r="E1566" s="0" t="n">
        <v>28.768</v>
      </c>
      <c r="F1566" s="0" t="n">
        <v>0.1581</v>
      </c>
      <c r="G1566" s="12" t="n">
        <f aca="false">(A1566+(C1566*D1566*COS(RADIANS(E1566))^2-F1566*C1566*D1566)*TAN(RADIANS(B1566)))/(C1566*D1566*SIN(RADIANS(E1566))*COS(RADIANS(E1566)))</f>
        <v>1.28523850987305</v>
      </c>
    </row>
    <row r="1567" customFormat="false" ht="15" hidden="false" customHeight="false" outlineLevel="0" collapsed="false">
      <c r="A1567" s="0" t="n">
        <v>13.956</v>
      </c>
      <c r="B1567" s="0" t="n">
        <v>31.441</v>
      </c>
      <c r="C1567" s="0" t="n">
        <v>18.084</v>
      </c>
      <c r="D1567" s="0" t="n">
        <v>14.095</v>
      </c>
      <c r="E1567" s="0" t="n">
        <v>29.449</v>
      </c>
      <c r="F1567" s="0" t="n">
        <v>0.1644</v>
      </c>
      <c r="G1567" s="12" t="n">
        <f aca="false">(A1567+(C1567*D1567*COS(RADIANS(E1567))^2-F1567*C1567*D1567)*TAN(RADIANS(B1567)))/(C1567*D1567*SIN(RADIANS(E1567))*COS(RADIANS(E1567)))</f>
        <v>0.975983857218711</v>
      </c>
    </row>
    <row r="1568" customFormat="false" ht="15" hidden="false" customHeight="false" outlineLevel="0" collapsed="false">
      <c r="A1568" s="0" t="n">
        <v>18.36</v>
      </c>
      <c r="B1568" s="0" t="n">
        <v>29.185</v>
      </c>
      <c r="C1568" s="0" t="n">
        <v>20.344</v>
      </c>
      <c r="D1568" s="0" t="n">
        <v>19.093</v>
      </c>
      <c r="E1568" s="0" t="n">
        <v>27.963</v>
      </c>
      <c r="F1568" s="0" t="n">
        <v>0.1786</v>
      </c>
      <c r="G1568" s="12" t="n">
        <f aca="false">(A1568+(C1568*D1568*COS(RADIANS(E1568))^2-F1568*C1568*D1568)*TAN(RADIANS(B1568)))/(C1568*D1568*SIN(RADIANS(E1568))*COS(RADIANS(E1568)))</f>
        <v>0.925361988656872</v>
      </c>
    </row>
    <row r="1569" customFormat="false" ht="15" hidden="false" customHeight="false" outlineLevel="0" collapsed="false">
      <c r="A1569" s="0" t="n">
        <v>15.948</v>
      </c>
      <c r="B1569" s="0" t="n">
        <v>38.085</v>
      </c>
      <c r="C1569" s="0" t="n">
        <v>20.391</v>
      </c>
      <c r="D1569" s="0" t="n">
        <v>12.968</v>
      </c>
      <c r="E1569" s="0" t="n">
        <v>25.672</v>
      </c>
      <c r="F1569" s="0" t="n">
        <v>0.0901</v>
      </c>
      <c r="G1569" s="12" t="n">
        <f aca="false">(A1569+(C1569*D1569*COS(RADIANS(E1569))^2-F1569*C1569*D1569)*TAN(RADIANS(B1569)))/(C1569*D1569*SIN(RADIANS(E1569))*COS(RADIANS(E1569)))</f>
        <v>1.60402420119391</v>
      </c>
    </row>
    <row r="1570" customFormat="false" ht="15" hidden="false" customHeight="false" outlineLevel="0" collapsed="false">
      <c r="A1570" s="0" t="n">
        <v>14.58</v>
      </c>
      <c r="B1570" s="0" t="n">
        <v>35.24</v>
      </c>
      <c r="C1570" s="0" t="n">
        <v>20.259</v>
      </c>
      <c r="D1570" s="0" t="n">
        <v>18.003</v>
      </c>
      <c r="E1570" s="0" t="n">
        <v>26.642</v>
      </c>
      <c r="F1570" s="0" t="n">
        <v>0.054</v>
      </c>
      <c r="G1570" s="12" t="n">
        <f aca="false">(A1570+(C1570*D1570*COS(RADIANS(E1570))^2-F1570*C1570*D1570)*TAN(RADIANS(B1570)))/(C1570*D1570*SIN(RADIANS(E1570))*COS(RADIANS(E1570)))</f>
        <v>1.41276215405702</v>
      </c>
    </row>
    <row r="1571" customFormat="false" ht="15" hidden="false" customHeight="false" outlineLevel="0" collapsed="false">
      <c r="A1571" s="0" t="n">
        <v>20.455</v>
      </c>
      <c r="B1571" s="0" t="n">
        <v>39.231</v>
      </c>
      <c r="C1571" s="0" t="n">
        <v>20.308</v>
      </c>
      <c r="D1571" s="0" t="n">
        <v>18.982</v>
      </c>
      <c r="E1571" s="0" t="n">
        <v>26.916</v>
      </c>
      <c r="F1571" s="0" t="n">
        <v>0.0739</v>
      </c>
      <c r="G1571" s="12" t="n">
        <f aca="false">(A1571+(C1571*D1571*COS(RADIANS(E1571))^2-F1571*C1571*D1571)*TAN(RADIANS(B1571)))/(C1571*D1571*SIN(RADIANS(E1571))*COS(RADIANS(E1571)))</f>
        <v>1.59023594242735</v>
      </c>
    </row>
    <row r="1572" customFormat="false" ht="15" hidden="false" customHeight="false" outlineLevel="0" collapsed="false">
      <c r="A1572" s="0" t="n">
        <v>14.053</v>
      </c>
      <c r="B1572" s="0" t="n">
        <v>36.038</v>
      </c>
      <c r="C1572" s="0" t="n">
        <v>20.378</v>
      </c>
      <c r="D1572" s="0" t="n">
        <v>15.397</v>
      </c>
      <c r="E1572" s="0" t="n">
        <v>27.59</v>
      </c>
      <c r="F1572" s="0" t="n">
        <v>0.2092</v>
      </c>
      <c r="G1572" s="12" t="n">
        <f aca="false">(A1572+(C1572*D1572*COS(RADIANS(E1572))^2-F1572*C1572*D1572)*TAN(RADIANS(B1572)))/(C1572*D1572*SIN(RADIANS(E1572))*COS(RADIANS(E1572)))</f>
        <v>1.13059214444027</v>
      </c>
    </row>
    <row r="1573" customFormat="false" ht="15" hidden="false" customHeight="false" outlineLevel="0" collapsed="false">
      <c r="A1573" s="0" t="n">
        <v>7.877</v>
      </c>
      <c r="B1573" s="0" t="n">
        <v>39.779</v>
      </c>
      <c r="C1573" s="0" t="n">
        <v>17.524</v>
      </c>
      <c r="D1573" s="0" t="n">
        <v>10.817</v>
      </c>
      <c r="E1573" s="0" t="n">
        <v>30.108</v>
      </c>
      <c r="F1573" s="0" t="n">
        <v>0.0715</v>
      </c>
      <c r="G1573" s="12" t="n">
        <f aca="false">(A1573+(C1573*D1573*COS(RADIANS(E1573))^2-F1573*C1573*D1573)*TAN(RADIANS(B1573)))/(C1573*D1573*SIN(RADIANS(E1573))*COS(RADIANS(E1573)))</f>
        <v>1.39434264838716</v>
      </c>
    </row>
    <row r="1574" customFormat="false" ht="15" hidden="false" customHeight="false" outlineLevel="0" collapsed="false">
      <c r="A1574" s="0" t="n">
        <v>11.787</v>
      </c>
      <c r="B1574" s="0" t="n">
        <v>37.297</v>
      </c>
      <c r="C1574" s="0" t="n">
        <v>19.666</v>
      </c>
      <c r="D1574" s="0" t="n">
        <v>18.807</v>
      </c>
      <c r="E1574" s="0" t="n">
        <v>28.616</v>
      </c>
      <c r="F1574" s="0" t="n">
        <v>0.1634</v>
      </c>
      <c r="G1574" s="12" t="n">
        <f aca="false">(A1574+(C1574*D1574*COS(RADIANS(E1574))^2-F1574*C1574*D1574)*TAN(RADIANS(B1574)))/(C1574*D1574*SIN(RADIANS(E1574))*COS(RADIANS(E1574)))</f>
        <v>1.17591649534082</v>
      </c>
    </row>
    <row r="1575" customFormat="false" ht="15" hidden="false" customHeight="false" outlineLevel="0" collapsed="false">
      <c r="A1575" s="0" t="n">
        <v>17.205</v>
      </c>
      <c r="B1575" s="0" t="n">
        <v>36.177</v>
      </c>
      <c r="C1575" s="0" t="n">
        <v>19.582</v>
      </c>
      <c r="D1575" s="0" t="n">
        <v>12.443</v>
      </c>
      <c r="E1575" s="0" t="n">
        <v>28.749</v>
      </c>
      <c r="F1575" s="0" t="n">
        <v>0.1643</v>
      </c>
      <c r="G1575" s="12" t="n">
        <f aca="false">(A1575+(C1575*D1575*COS(RADIANS(E1575))^2-F1575*C1575*D1575)*TAN(RADIANS(B1575)))/(C1575*D1575*SIN(RADIANS(E1575))*COS(RADIANS(E1575)))</f>
        <v>1.2155160943863</v>
      </c>
    </row>
    <row r="1576" customFormat="false" ht="15" hidden="false" customHeight="false" outlineLevel="0" collapsed="false">
      <c r="A1576" s="0" t="n">
        <v>16.582</v>
      </c>
      <c r="B1576" s="0" t="n">
        <v>33.801</v>
      </c>
      <c r="C1576" s="0" t="n">
        <v>19.824</v>
      </c>
      <c r="D1576" s="0" t="n">
        <v>10.604</v>
      </c>
      <c r="E1576" s="0" t="n">
        <v>26.915</v>
      </c>
      <c r="F1576" s="0" t="n">
        <v>0.2158</v>
      </c>
      <c r="G1576" s="12" t="n">
        <f aca="false">(A1576+(C1576*D1576*COS(RADIANS(E1576))^2-F1576*C1576*D1576)*TAN(RADIANS(B1576)))/(C1576*D1576*SIN(RADIANS(E1576))*COS(RADIANS(E1576)))</f>
        <v>1.15623887638506</v>
      </c>
    </row>
    <row r="1577" customFormat="false" ht="15" hidden="false" customHeight="false" outlineLevel="0" collapsed="false">
      <c r="A1577" s="0" t="n">
        <v>8.732</v>
      </c>
      <c r="B1577" s="0" t="n">
        <v>33.427</v>
      </c>
      <c r="C1577" s="0" t="n">
        <v>19.8</v>
      </c>
      <c r="D1577" s="0" t="n">
        <v>14.129</v>
      </c>
      <c r="E1577" s="0" t="n">
        <v>26.16</v>
      </c>
      <c r="F1577" s="0" t="n">
        <v>0.1277</v>
      </c>
      <c r="G1577" s="12" t="n">
        <f aca="false">(A1577+(C1577*D1577*COS(RADIANS(E1577))^2-F1577*C1577*D1577)*TAN(RADIANS(B1577)))/(C1577*D1577*SIN(RADIANS(E1577))*COS(RADIANS(E1577)))</f>
        <v>1.20965053516924</v>
      </c>
    </row>
    <row r="1578" customFormat="false" ht="15" hidden="false" customHeight="false" outlineLevel="0" collapsed="false">
      <c r="A1578" s="0" t="n">
        <v>12.103</v>
      </c>
      <c r="B1578" s="0" t="n">
        <v>29.657</v>
      </c>
      <c r="C1578" s="0" t="n">
        <v>18.789</v>
      </c>
      <c r="D1578" s="0" t="n">
        <v>12.999</v>
      </c>
      <c r="E1578" s="0" t="n">
        <v>28.853</v>
      </c>
      <c r="F1578" s="0" t="n">
        <v>0.2655</v>
      </c>
      <c r="G1578" s="12" t="n">
        <f aca="false">(A1578+(C1578*D1578*COS(RADIANS(E1578))^2-F1578*C1578*D1578)*TAN(RADIANS(B1578)))/(C1578*D1578*SIN(RADIANS(E1578))*COS(RADIANS(E1578)))</f>
        <v>0.793029886272561</v>
      </c>
    </row>
    <row r="1579" customFormat="false" ht="15" hidden="false" customHeight="false" outlineLevel="0" collapsed="false">
      <c r="A1579" s="0" t="n">
        <v>12.673</v>
      </c>
      <c r="B1579" s="0" t="n">
        <v>36.884</v>
      </c>
      <c r="C1579" s="0" t="n">
        <v>20.32</v>
      </c>
      <c r="D1579" s="0" t="n">
        <v>16.839</v>
      </c>
      <c r="E1579" s="0" t="n">
        <v>24.113</v>
      </c>
      <c r="F1579" s="0" t="n">
        <v>0.1064</v>
      </c>
      <c r="G1579" s="12" t="n">
        <f aca="false">(A1579+(C1579*D1579*COS(RADIANS(E1579))^2-F1579*C1579*D1579)*TAN(RADIANS(B1579)))/(C1579*D1579*SIN(RADIANS(E1579))*COS(RADIANS(E1579)))</f>
        <v>1.56169618330839</v>
      </c>
    </row>
    <row r="1580" customFormat="false" ht="15" hidden="false" customHeight="false" outlineLevel="0" collapsed="false">
      <c r="A1580" s="0" t="n">
        <v>13.538</v>
      </c>
      <c r="B1580" s="0" t="n">
        <v>32.511</v>
      </c>
      <c r="C1580" s="0" t="n">
        <v>18.978</v>
      </c>
      <c r="D1580" s="0" t="n">
        <v>16.387</v>
      </c>
      <c r="E1580" s="0" t="n">
        <v>28.103</v>
      </c>
      <c r="F1580" s="0" t="n">
        <v>0.0583</v>
      </c>
      <c r="G1580" s="12" t="n">
        <f aca="false">(A1580+(C1580*D1580*COS(RADIANS(E1580))^2-F1580*C1580*D1580)*TAN(RADIANS(B1580)))/(C1580*D1580*SIN(RADIANS(E1580))*COS(RADIANS(E1580)))</f>
        <v>1.20882308412062</v>
      </c>
    </row>
    <row r="1581" customFormat="false" ht="15" hidden="false" customHeight="false" outlineLevel="0" collapsed="false">
      <c r="A1581" s="0" t="n">
        <v>9.496</v>
      </c>
      <c r="B1581" s="0" t="n">
        <v>34.176</v>
      </c>
      <c r="C1581" s="0" t="n">
        <v>19.801</v>
      </c>
      <c r="D1581" s="0" t="n">
        <v>13.007</v>
      </c>
      <c r="E1581" s="0" t="n">
        <v>29.004</v>
      </c>
      <c r="F1581" s="0" t="n">
        <v>0.253</v>
      </c>
      <c r="G1581" s="12" t="n">
        <f aca="false">(A1581+(C1581*D1581*COS(RADIANS(E1581))^2-F1581*C1581*D1581)*TAN(RADIANS(B1581)))/(C1581*D1581*SIN(RADIANS(E1581))*COS(RADIANS(E1581)))</f>
        <v>0.906577228442125</v>
      </c>
    </row>
    <row r="1582" customFormat="false" ht="15" hidden="false" customHeight="false" outlineLevel="0" collapsed="false">
      <c r="A1582" s="0" t="n">
        <v>12.487</v>
      </c>
      <c r="B1582" s="0" t="n">
        <v>34.875</v>
      </c>
      <c r="C1582" s="0" t="n">
        <v>18.384</v>
      </c>
      <c r="D1582" s="0" t="n">
        <v>11.327</v>
      </c>
      <c r="E1582" s="0" t="n">
        <v>29.529</v>
      </c>
      <c r="F1582" s="0" t="n">
        <v>0.214</v>
      </c>
      <c r="G1582" s="12" t="n">
        <f aca="false">(A1582+(C1582*D1582*COS(RADIANS(E1582))^2-F1582*C1582*D1582)*TAN(RADIANS(B1582)))/(C1582*D1582*SIN(RADIANS(E1582))*COS(RADIANS(E1582)))</f>
        <v>1.02245764067193</v>
      </c>
    </row>
    <row r="1583" customFormat="false" ht="15" hidden="false" customHeight="false" outlineLevel="0" collapsed="false">
      <c r="A1583" s="0" t="n">
        <v>12.086</v>
      </c>
      <c r="B1583" s="0" t="n">
        <v>33.335</v>
      </c>
      <c r="C1583" s="0" t="n">
        <v>18.311</v>
      </c>
      <c r="D1583" s="0" t="n">
        <v>13.635</v>
      </c>
      <c r="E1583" s="0" t="n">
        <v>26.962</v>
      </c>
      <c r="F1583" s="0" t="n">
        <v>0.2218</v>
      </c>
      <c r="G1583" s="12" t="n">
        <f aca="false">(A1583+(C1583*D1583*COS(RADIANS(E1583))^2-F1583*C1583*D1583)*TAN(RADIANS(B1583)))/(C1583*D1583*SIN(RADIANS(E1583))*COS(RADIANS(E1583)))</f>
        <v>1.05180990384468</v>
      </c>
    </row>
    <row r="1584" customFormat="false" ht="15" hidden="false" customHeight="false" outlineLevel="0" collapsed="false">
      <c r="A1584" s="0" t="n">
        <v>18.086</v>
      </c>
      <c r="B1584" s="0" t="n">
        <v>35.536</v>
      </c>
      <c r="C1584" s="0" t="n">
        <v>20.845</v>
      </c>
      <c r="D1584" s="0" t="n">
        <v>22.417</v>
      </c>
      <c r="E1584" s="0" t="n">
        <v>28.285</v>
      </c>
      <c r="F1584" s="0" t="n">
        <v>0.1378</v>
      </c>
      <c r="G1584" s="12" t="n">
        <f aca="false">(A1584+(C1584*D1584*COS(RADIANS(E1584))^2-F1584*C1584*D1584)*TAN(RADIANS(B1584)))/(C1584*D1584*SIN(RADIANS(E1584))*COS(RADIANS(E1584)))</f>
        <v>1.18421054245154</v>
      </c>
    </row>
    <row r="1585" customFormat="false" ht="15" hidden="false" customHeight="false" outlineLevel="0" collapsed="false">
      <c r="A1585" s="0" t="n">
        <v>18.236</v>
      </c>
      <c r="B1585" s="0" t="n">
        <v>27.65</v>
      </c>
      <c r="C1585" s="0" t="n">
        <v>19.251</v>
      </c>
      <c r="D1585" s="0" t="n">
        <v>17.23</v>
      </c>
      <c r="E1585" s="0" t="n">
        <v>25.324</v>
      </c>
      <c r="F1585" s="0" t="n">
        <v>0.1445</v>
      </c>
      <c r="G1585" s="12" t="n">
        <f aca="false">(A1585+(C1585*D1585*COS(RADIANS(E1585))^2-F1585*C1585*D1585)*TAN(RADIANS(B1585)))/(C1585*D1585*SIN(RADIANS(E1585))*COS(RADIANS(E1585)))</f>
        <v>1.05351222184537</v>
      </c>
    </row>
    <row r="1586" customFormat="false" ht="15" hidden="false" customHeight="false" outlineLevel="0" collapsed="false">
      <c r="A1586" s="0" t="n">
        <v>14.417</v>
      </c>
      <c r="B1586" s="0" t="n">
        <v>35.067</v>
      </c>
      <c r="C1586" s="0" t="n">
        <v>21.178</v>
      </c>
      <c r="D1586" s="0" t="n">
        <v>10.052</v>
      </c>
      <c r="E1586" s="0" t="n">
        <v>28.257</v>
      </c>
      <c r="F1586" s="0" t="n">
        <v>0.1476</v>
      </c>
      <c r="G1586" s="12" t="n">
        <f aca="false">(A1586+(C1586*D1586*COS(RADIANS(E1586))^2-F1586*C1586*D1586)*TAN(RADIANS(B1586)))/(C1586*D1586*SIN(RADIANS(E1586))*COS(RADIANS(E1586)))</f>
        <v>1.21996016943148</v>
      </c>
    </row>
    <row r="1587" customFormat="false" ht="15" hidden="false" customHeight="false" outlineLevel="0" collapsed="false">
      <c r="A1587" s="0" t="n">
        <v>13.432</v>
      </c>
      <c r="B1587" s="0" t="n">
        <v>36.978</v>
      </c>
      <c r="C1587" s="0" t="n">
        <v>18.019</v>
      </c>
      <c r="D1587" s="0" t="n">
        <v>19.469</v>
      </c>
      <c r="E1587" s="0" t="n">
        <v>27.755</v>
      </c>
      <c r="F1587" s="0" t="n">
        <v>0.1038</v>
      </c>
      <c r="G1587" s="12" t="n">
        <f aca="false">(A1587+(C1587*D1587*COS(RADIANS(E1587))^2-F1587*C1587*D1587)*TAN(RADIANS(B1587)))/(C1587*D1587*SIN(RADIANS(E1587))*COS(RADIANS(E1587)))</f>
        <v>1.33408287945322</v>
      </c>
    </row>
    <row r="1588" customFormat="false" ht="15" hidden="false" customHeight="false" outlineLevel="0" collapsed="false">
      <c r="A1588" s="0" t="n">
        <v>15.56</v>
      </c>
      <c r="B1588" s="0" t="n">
        <v>29.655</v>
      </c>
      <c r="C1588" s="0" t="n">
        <v>19.358</v>
      </c>
      <c r="D1588" s="0" t="n">
        <v>15.327</v>
      </c>
      <c r="E1588" s="0" t="n">
        <v>27.646</v>
      </c>
      <c r="F1588" s="0" t="n">
        <v>0.2229</v>
      </c>
      <c r="G1588" s="12" t="n">
        <f aca="false">(A1588+(C1588*D1588*COS(RADIANS(E1588))^2-F1588*C1588*D1588)*TAN(RADIANS(B1588)))/(C1588*D1588*SIN(RADIANS(E1588))*COS(RADIANS(E1588)))</f>
        <v>0.905774247337687</v>
      </c>
    </row>
    <row r="1589" customFormat="false" ht="15" hidden="false" customHeight="false" outlineLevel="0" collapsed="false">
      <c r="A1589" s="0" t="n">
        <v>11.734</v>
      </c>
      <c r="B1589" s="0" t="n">
        <v>32.872</v>
      </c>
      <c r="C1589" s="0" t="n">
        <v>19.061</v>
      </c>
      <c r="D1589" s="0" t="n">
        <v>10.38</v>
      </c>
      <c r="E1589" s="0" t="n">
        <v>29.741</v>
      </c>
      <c r="F1589" s="0" t="n">
        <v>0.1884</v>
      </c>
      <c r="G1589" s="12" t="n">
        <f aca="false">(A1589+(C1589*D1589*COS(RADIANS(E1589))^2-F1589*C1589*D1589)*TAN(RADIANS(B1589)))/(C1589*D1589*SIN(RADIANS(E1589))*COS(RADIANS(E1589)))</f>
        <v>0.98611941906207</v>
      </c>
    </row>
    <row r="1590" customFormat="false" ht="15" hidden="false" customHeight="false" outlineLevel="0" collapsed="false">
      <c r="A1590" s="0" t="n">
        <v>10.413</v>
      </c>
      <c r="B1590" s="0" t="n">
        <v>39.194</v>
      </c>
      <c r="C1590" s="0" t="n">
        <v>18.924</v>
      </c>
      <c r="D1590" s="0" t="n">
        <v>18.652</v>
      </c>
      <c r="E1590" s="0" t="n">
        <v>27.335</v>
      </c>
      <c r="F1590" s="0" t="n">
        <v>0.2021</v>
      </c>
      <c r="G1590" s="12" t="n">
        <f aca="false">(A1590+(C1590*D1590*COS(RADIANS(E1590))^2-F1590*C1590*D1590)*TAN(RADIANS(B1590)))/(C1590*D1590*SIN(RADIANS(E1590))*COS(RADIANS(E1590)))</f>
        <v>1.24578837348788</v>
      </c>
    </row>
    <row r="1591" customFormat="false" ht="15" hidden="false" customHeight="false" outlineLevel="0" collapsed="false">
      <c r="A1591" s="0" t="n">
        <v>11.239</v>
      </c>
      <c r="B1591" s="0" t="n">
        <v>34.699</v>
      </c>
      <c r="C1591" s="0" t="n">
        <v>23.104</v>
      </c>
      <c r="D1591" s="0" t="n">
        <v>14.806</v>
      </c>
      <c r="E1591" s="0" t="n">
        <v>28.662</v>
      </c>
      <c r="F1591" s="0" t="n">
        <v>0.1825</v>
      </c>
      <c r="G1591" s="12" t="n">
        <f aca="false">(A1591+(C1591*D1591*COS(RADIANS(E1591))^2-F1591*C1591*D1591)*TAN(RADIANS(B1591)))/(C1591*D1591*SIN(RADIANS(E1591))*COS(RADIANS(E1591)))</f>
        <v>1.04451951425765</v>
      </c>
    </row>
    <row r="1592" customFormat="false" ht="15" hidden="false" customHeight="false" outlineLevel="0" collapsed="false">
      <c r="A1592" s="0" t="n">
        <v>12.461</v>
      </c>
      <c r="B1592" s="0" t="n">
        <v>32.821</v>
      </c>
      <c r="C1592" s="0" t="n">
        <v>19.498</v>
      </c>
      <c r="D1592" s="0" t="n">
        <v>17.434</v>
      </c>
      <c r="E1592" s="0" t="n">
        <v>27.167</v>
      </c>
      <c r="F1592" s="0" t="n">
        <v>0.1718</v>
      </c>
      <c r="G1592" s="12" t="n">
        <f aca="false">(A1592+(C1592*D1592*COS(RADIANS(E1592))^2-F1592*C1592*D1592)*TAN(RADIANS(B1592)))/(C1592*D1592*SIN(RADIANS(E1592))*COS(RADIANS(E1592)))</f>
        <v>1.07422906952063</v>
      </c>
    </row>
    <row r="1593" customFormat="false" ht="15" hidden="false" customHeight="false" outlineLevel="0" collapsed="false">
      <c r="A1593" s="0" t="n">
        <v>10.346</v>
      </c>
      <c r="B1593" s="0" t="n">
        <v>37.292</v>
      </c>
      <c r="C1593" s="0" t="n">
        <v>22.237</v>
      </c>
      <c r="D1593" s="0" t="n">
        <v>17.705</v>
      </c>
      <c r="E1593" s="0" t="n">
        <v>28.762</v>
      </c>
      <c r="F1593" s="0" t="n">
        <v>0.179</v>
      </c>
      <c r="G1593" s="12" t="n">
        <f aca="false">(A1593+(C1593*D1593*COS(RADIANS(E1593))^2-F1593*C1593*D1593)*TAN(RADIANS(B1593)))/(C1593*D1593*SIN(RADIANS(E1593))*COS(RADIANS(E1593)))</f>
        <v>1.12659404168795</v>
      </c>
    </row>
    <row r="1594" customFormat="false" ht="15" hidden="false" customHeight="false" outlineLevel="0" collapsed="false">
      <c r="A1594" s="0" t="n">
        <v>15.648</v>
      </c>
      <c r="B1594" s="0" t="n">
        <v>31.54</v>
      </c>
      <c r="C1594" s="0" t="n">
        <v>22.506</v>
      </c>
      <c r="D1594" s="0" t="n">
        <v>12.321</v>
      </c>
      <c r="E1594" s="0" t="n">
        <v>27.099</v>
      </c>
      <c r="F1594" s="0" t="n">
        <v>0.1618</v>
      </c>
      <c r="G1594" s="12" t="n">
        <f aca="false">(A1594+(C1594*D1594*COS(RADIANS(E1594))^2-F1594*C1594*D1594)*TAN(RADIANS(B1594)))/(C1594*D1594*SIN(RADIANS(E1594))*COS(RADIANS(E1594)))</f>
        <v>1.09371622355697</v>
      </c>
    </row>
    <row r="1595" customFormat="false" ht="15" hidden="false" customHeight="false" outlineLevel="0" collapsed="false">
      <c r="A1595" s="0" t="n">
        <v>17.919</v>
      </c>
      <c r="B1595" s="0" t="n">
        <v>31.811</v>
      </c>
      <c r="C1595" s="0" t="n">
        <v>20.252</v>
      </c>
      <c r="D1595" s="0" t="n">
        <v>18.349</v>
      </c>
      <c r="E1595" s="0" t="n">
        <v>30.44</v>
      </c>
      <c r="F1595" s="0" t="n">
        <v>0.0906</v>
      </c>
      <c r="G1595" s="12" t="n">
        <f aca="false">(A1595+(C1595*D1595*COS(RADIANS(E1595))^2-F1595*C1595*D1595)*TAN(RADIANS(B1595)))/(C1595*D1595*SIN(RADIANS(E1595))*COS(RADIANS(E1595)))</f>
        <v>1.03730908831773</v>
      </c>
    </row>
    <row r="1596" customFormat="false" ht="15" hidden="false" customHeight="false" outlineLevel="0" collapsed="false">
      <c r="A1596" s="0" t="n">
        <v>8.652</v>
      </c>
      <c r="B1596" s="0" t="n">
        <v>32.091</v>
      </c>
      <c r="C1596" s="0" t="n">
        <v>21.829</v>
      </c>
      <c r="D1596" s="0" t="n">
        <v>12.836</v>
      </c>
      <c r="E1596" s="0" t="n">
        <v>27.416</v>
      </c>
      <c r="F1596" s="0" t="n">
        <v>0.2037</v>
      </c>
      <c r="G1596" s="12" t="n">
        <f aca="false">(A1596+(C1596*D1596*COS(RADIANS(E1596))^2-F1596*C1596*D1596)*TAN(RADIANS(B1596)))/(C1596*D1596*SIN(RADIANS(E1596))*COS(RADIANS(E1596)))</f>
        <v>0.971962539945449</v>
      </c>
    </row>
    <row r="1597" customFormat="false" ht="15" hidden="false" customHeight="false" outlineLevel="0" collapsed="false">
      <c r="A1597" s="0" t="n">
        <v>15.101</v>
      </c>
      <c r="B1597" s="0" t="n">
        <v>39.21</v>
      </c>
      <c r="C1597" s="0" t="n">
        <v>19.221</v>
      </c>
      <c r="D1597" s="0" t="n">
        <v>16.201</v>
      </c>
      <c r="E1597" s="0" t="n">
        <v>26.645</v>
      </c>
      <c r="F1597" s="0" t="n">
        <v>0.1911</v>
      </c>
      <c r="G1597" s="12" t="n">
        <f aca="false">(A1597+(C1597*D1597*COS(RADIANS(E1597))^2-F1597*C1597*D1597)*TAN(RADIANS(B1597)))/(C1597*D1597*SIN(RADIANS(E1597))*COS(RADIANS(E1597)))</f>
        <v>1.35807774431979</v>
      </c>
    </row>
    <row r="1598" customFormat="false" ht="15" hidden="false" customHeight="false" outlineLevel="0" collapsed="false">
      <c r="A1598" s="0" t="n">
        <v>14.12</v>
      </c>
      <c r="B1598" s="0" t="n">
        <v>31.827</v>
      </c>
      <c r="C1598" s="0" t="n">
        <v>19.371</v>
      </c>
      <c r="D1598" s="0" t="n">
        <v>11.833</v>
      </c>
      <c r="E1598" s="0" t="n">
        <v>26.768</v>
      </c>
      <c r="F1598" s="0" t="n">
        <v>0.2284</v>
      </c>
      <c r="G1598" s="12" t="n">
        <f aca="false">(A1598+(C1598*D1598*COS(RADIANS(E1598))^2-F1598*C1598*D1598)*TAN(RADIANS(B1598)))/(C1598*D1598*SIN(RADIANS(E1598))*COS(RADIANS(E1598)))</f>
        <v>1.03109144658434</v>
      </c>
    </row>
    <row r="1599" customFormat="false" ht="15" hidden="false" customHeight="false" outlineLevel="0" collapsed="false">
      <c r="A1599" s="0" t="n">
        <v>16.366</v>
      </c>
      <c r="B1599" s="0" t="n">
        <v>34.759</v>
      </c>
      <c r="C1599" s="0" t="n">
        <v>19.884</v>
      </c>
      <c r="D1599" s="0" t="n">
        <v>15.219</v>
      </c>
      <c r="E1599" s="0" t="n">
        <v>27.583</v>
      </c>
      <c r="F1599" s="0" t="n">
        <v>0.1081</v>
      </c>
      <c r="G1599" s="12" t="n">
        <f aca="false">(A1599+(C1599*D1599*COS(RADIANS(E1599))^2-F1599*C1599*D1599)*TAN(RADIANS(B1599)))/(C1599*D1599*SIN(RADIANS(E1599))*COS(RADIANS(E1599)))</f>
        <v>1.27736778418835</v>
      </c>
    </row>
    <row r="1600" customFormat="false" ht="15" hidden="false" customHeight="false" outlineLevel="0" collapsed="false">
      <c r="A1600" s="0" t="n">
        <v>14.948</v>
      </c>
      <c r="B1600" s="0" t="n">
        <v>38.506</v>
      </c>
      <c r="C1600" s="0" t="n">
        <v>20.99</v>
      </c>
      <c r="D1600" s="0" t="n">
        <v>13.445</v>
      </c>
      <c r="E1600" s="0" t="n">
        <v>27.353</v>
      </c>
      <c r="F1600" s="0" t="n">
        <v>0.2997</v>
      </c>
      <c r="G1600" s="12" t="n">
        <f aca="false">(A1600+(C1600*D1600*COS(RADIANS(E1600))^2-F1600*C1600*D1600)*TAN(RADIANS(B1600)))/(C1600*D1600*SIN(RADIANS(E1600))*COS(RADIANS(E1600)))</f>
        <v>1.08348051484306</v>
      </c>
    </row>
    <row r="1601" customFormat="false" ht="15" hidden="false" customHeight="false" outlineLevel="0" collapsed="false">
      <c r="A1601" s="0" t="n">
        <v>9.186</v>
      </c>
      <c r="B1601" s="0" t="n">
        <v>31.883</v>
      </c>
      <c r="C1601" s="0" t="n">
        <v>20.645</v>
      </c>
      <c r="D1601" s="0" t="n">
        <v>15.72</v>
      </c>
      <c r="E1601" s="0" t="n">
        <v>29.234</v>
      </c>
      <c r="F1601" s="0" t="n">
        <v>0.1944</v>
      </c>
      <c r="G1601" s="12" t="n">
        <f aca="false">(A1601+(C1601*D1601*COS(RADIANS(E1601))^2-F1601*C1601*D1601)*TAN(RADIANS(B1601)))/(C1601*D1601*SIN(RADIANS(E1601))*COS(RADIANS(E1601)))</f>
        <v>0.894123088855361</v>
      </c>
    </row>
    <row r="1602" customFormat="false" ht="15" hidden="false" customHeight="false" outlineLevel="0" collapsed="false">
      <c r="A1602" s="0" t="n">
        <v>9.95</v>
      </c>
      <c r="B1602" s="0" t="n">
        <v>29.579</v>
      </c>
      <c r="C1602" s="0" t="n">
        <v>19.454</v>
      </c>
      <c r="D1602" s="0" t="n">
        <v>6.215</v>
      </c>
      <c r="E1602" s="0" t="n">
        <v>31.08</v>
      </c>
      <c r="F1602" s="0" t="n">
        <v>0.0456</v>
      </c>
      <c r="G1602" s="12" t="n">
        <f aca="false">(A1602+(C1602*D1602*COS(RADIANS(E1602))^2-F1602*C1602*D1602)*TAN(RADIANS(B1602)))/(C1602*D1602*SIN(RADIANS(E1602))*COS(RADIANS(E1602)))</f>
        <v>1.06924848231451</v>
      </c>
    </row>
    <row r="1603" customFormat="false" ht="15" hidden="false" customHeight="false" outlineLevel="0" collapsed="false">
      <c r="A1603" s="0" t="n">
        <v>15.118</v>
      </c>
      <c r="B1603" s="0" t="n">
        <v>41.491</v>
      </c>
      <c r="C1603" s="0" t="n">
        <v>21.098</v>
      </c>
      <c r="D1603" s="0" t="n">
        <v>20.393</v>
      </c>
      <c r="E1603" s="0" t="n">
        <v>25.599</v>
      </c>
      <c r="F1603" s="0" t="n">
        <v>0.1592</v>
      </c>
      <c r="G1603" s="12" t="n">
        <f aca="false">(A1603+(C1603*D1603*COS(RADIANS(E1603))^2-F1603*C1603*D1603)*TAN(RADIANS(B1603)))/(C1603*D1603*SIN(RADIANS(E1603))*COS(RADIANS(E1603)))</f>
        <v>1.57488588015588</v>
      </c>
    </row>
    <row r="1604" customFormat="false" ht="15" hidden="false" customHeight="false" outlineLevel="0" collapsed="false">
      <c r="A1604" s="0" t="n">
        <v>19.115</v>
      </c>
      <c r="B1604" s="0" t="n">
        <v>35.396</v>
      </c>
      <c r="C1604" s="0" t="n">
        <v>19.562</v>
      </c>
      <c r="D1604" s="0" t="n">
        <v>17.126</v>
      </c>
      <c r="E1604" s="0" t="n">
        <v>27.935</v>
      </c>
      <c r="F1604" s="0" t="n">
        <v>0.0069</v>
      </c>
      <c r="G1604" s="12" t="n">
        <f aca="false">(A1604+(C1604*D1604*COS(RADIANS(E1604))^2-F1604*C1604*D1604)*TAN(RADIANS(B1604)))/(C1604*D1604*SIN(RADIANS(E1604))*COS(RADIANS(E1604)))</f>
        <v>1.46604084698008</v>
      </c>
    </row>
    <row r="1605" customFormat="false" ht="15" hidden="false" customHeight="false" outlineLevel="0" collapsed="false">
      <c r="A1605" s="0" t="n">
        <v>6.143</v>
      </c>
      <c r="B1605" s="0" t="n">
        <v>33.006</v>
      </c>
      <c r="C1605" s="0" t="n">
        <v>21.005</v>
      </c>
      <c r="D1605" s="0" t="n">
        <v>19.131</v>
      </c>
      <c r="E1605" s="0" t="n">
        <v>28.506</v>
      </c>
      <c r="F1605" s="0" t="n">
        <v>0</v>
      </c>
      <c r="G1605" s="12" t="n">
        <f aca="false">(A1605+(C1605*D1605*COS(RADIANS(E1605))^2-F1605*C1605*D1605)*TAN(RADIANS(B1605)))/(C1605*D1605*SIN(RADIANS(E1605))*COS(RADIANS(E1605)))</f>
        <v>1.23248570679538</v>
      </c>
    </row>
    <row r="1606" customFormat="false" ht="15" hidden="false" customHeight="false" outlineLevel="0" collapsed="false">
      <c r="A1606" s="0" t="n">
        <v>16.383</v>
      </c>
      <c r="B1606" s="0" t="n">
        <v>34.5</v>
      </c>
      <c r="C1606" s="0" t="n">
        <v>21.792</v>
      </c>
      <c r="D1606" s="0" t="n">
        <v>16.403</v>
      </c>
      <c r="E1606" s="0" t="n">
        <v>29.288</v>
      </c>
      <c r="F1606" s="0" t="n">
        <v>0.1734</v>
      </c>
      <c r="G1606" s="12" t="n">
        <f aca="false">(A1606+(C1606*D1606*COS(RADIANS(E1606))^2-F1606*C1606*D1606)*TAN(RADIANS(B1606)))/(C1606*D1606*SIN(RADIANS(E1606))*COS(RADIANS(E1606)))</f>
        <v>1.05342587037625</v>
      </c>
    </row>
    <row r="1607" customFormat="false" ht="15" hidden="false" customHeight="false" outlineLevel="0" collapsed="false">
      <c r="A1607" s="0" t="n">
        <v>19.758</v>
      </c>
      <c r="B1607" s="0" t="n">
        <v>37.291</v>
      </c>
      <c r="C1607" s="0" t="n">
        <v>19.329</v>
      </c>
      <c r="D1607" s="0" t="n">
        <v>15.183</v>
      </c>
      <c r="E1607" s="0" t="n">
        <v>29.372</v>
      </c>
      <c r="F1607" s="0" t="n">
        <v>0.174</v>
      </c>
      <c r="G1607" s="12" t="n">
        <f aca="false">(A1607+(C1607*D1607*COS(RADIANS(E1607))^2-F1607*C1607*D1607)*TAN(RADIANS(B1607)))/(C1607*D1607*SIN(RADIANS(E1607))*COS(RADIANS(E1607)))</f>
        <v>1.20057159915985</v>
      </c>
    </row>
    <row r="1608" customFormat="false" ht="15" hidden="false" customHeight="false" outlineLevel="0" collapsed="false">
      <c r="A1608" s="0" t="n">
        <v>14.388</v>
      </c>
      <c r="B1608" s="0" t="n">
        <v>30.199</v>
      </c>
      <c r="C1608" s="0" t="n">
        <v>19.667</v>
      </c>
      <c r="D1608" s="0" t="n">
        <v>14.433</v>
      </c>
      <c r="E1608" s="0" t="n">
        <v>28.958</v>
      </c>
      <c r="F1608" s="0" t="n">
        <v>0.2398</v>
      </c>
      <c r="G1608" s="12" t="n">
        <f aca="false">(A1608+(C1608*D1608*COS(RADIANS(E1608))^2-F1608*C1608*D1608)*TAN(RADIANS(B1608)))/(C1608*D1608*SIN(RADIANS(E1608))*COS(RADIANS(E1608)))</f>
        <v>0.841968931373327</v>
      </c>
    </row>
    <row r="1609" customFormat="false" ht="15" hidden="false" customHeight="false" outlineLevel="0" collapsed="false">
      <c r="A1609" s="0" t="n">
        <v>17.201</v>
      </c>
      <c r="B1609" s="0" t="n">
        <v>33.538</v>
      </c>
      <c r="C1609" s="0" t="n">
        <v>19.838</v>
      </c>
      <c r="D1609" s="0" t="n">
        <v>19.298</v>
      </c>
      <c r="E1609" s="0" t="n">
        <v>26.741</v>
      </c>
      <c r="F1609" s="0" t="n">
        <v>0.1509</v>
      </c>
      <c r="G1609" s="12" t="n">
        <f aca="false">(A1609+(C1609*D1609*COS(RADIANS(E1609))^2-F1609*C1609*D1609)*TAN(RADIANS(B1609)))/(C1609*D1609*SIN(RADIANS(E1609))*COS(RADIANS(E1609)))</f>
        <v>1.17846356062778</v>
      </c>
    </row>
    <row r="1610" customFormat="false" ht="15" hidden="false" customHeight="false" outlineLevel="0" collapsed="false">
      <c r="A1610" s="0" t="n">
        <v>12.188</v>
      </c>
      <c r="B1610" s="0" t="n">
        <v>37.457</v>
      </c>
      <c r="C1610" s="0" t="n">
        <v>18.866</v>
      </c>
      <c r="D1610" s="0" t="n">
        <v>15.147</v>
      </c>
      <c r="E1610" s="0" t="n">
        <v>29.727</v>
      </c>
      <c r="F1610" s="0" t="n">
        <v>0.2683</v>
      </c>
      <c r="G1610" s="12" t="n">
        <f aca="false">(A1610+(C1610*D1610*COS(RADIANS(E1610))^2-F1610*C1610*D1610)*TAN(RADIANS(B1610)))/(C1610*D1610*SIN(RADIANS(E1610))*COS(RADIANS(E1610)))</f>
        <v>0.963400783774727</v>
      </c>
    </row>
    <row r="1611" customFormat="false" ht="15" hidden="false" customHeight="false" outlineLevel="0" collapsed="false">
      <c r="A1611" s="0" t="n">
        <v>14.523</v>
      </c>
      <c r="B1611" s="0" t="n">
        <v>39.519</v>
      </c>
      <c r="C1611" s="0" t="n">
        <v>20.859</v>
      </c>
      <c r="D1611" s="0" t="n">
        <v>17.623</v>
      </c>
      <c r="E1611" s="0" t="n">
        <v>24.781</v>
      </c>
      <c r="F1611" s="0" t="n">
        <v>0.1735</v>
      </c>
      <c r="G1611" s="12" t="n">
        <f aca="false">(A1611+(C1611*D1611*COS(RADIANS(E1611))^2-F1611*C1611*D1611)*TAN(RADIANS(B1611)))/(C1611*D1611*SIN(RADIANS(E1611))*COS(RADIANS(E1611)))</f>
        <v>1.51452492994135</v>
      </c>
    </row>
    <row r="1612" customFormat="false" ht="15" hidden="false" customHeight="false" outlineLevel="0" collapsed="false">
      <c r="A1612" s="0" t="n">
        <v>8.516</v>
      </c>
      <c r="B1612" s="0" t="n">
        <v>39.489</v>
      </c>
      <c r="C1612" s="0" t="n">
        <v>20.036</v>
      </c>
      <c r="D1612" s="0" t="n">
        <v>15.079</v>
      </c>
      <c r="E1612" s="0" t="n">
        <v>27.432</v>
      </c>
      <c r="F1612" s="0" t="n">
        <v>0.1648</v>
      </c>
      <c r="G1612" s="12" t="n">
        <f aca="false">(A1612+(C1612*D1612*COS(RADIANS(E1612))^2-F1612*C1612*D1612)*TAN(RADIANS(B1612)))/(C1612*D1612*SIN(RADIANS(E1612))*COS(RADIANS(E1612)))</f>
        <v>1.32433945201003</v>
      </c>
    </row>
    <row r="1613" customFormat="false" ht="15" hidden="false" customHeight="false" outlineLevel="0" collapsed="false">
      <c r="A1613" s="0" t="n">
        <v>5.623</v>
      </c>
      <c r="B1613" s="0" t="n">
        <v>35.331</v>
      </c>
      <c r="C1613" s="0" t="n">
        <v>20.251</v>
      </c>
      <c r="D1613" s="0" t="n">
        <v>16.592</v>
      </c>
      <c r="E1613" s="0" t="n">
        <v>27.131</v>
      </c>
      <c r="F1613" s="0" t="n">
        <v>0.079</v>
      </c>
      <c r="G1613" s="12" t="n">
        <f aca="false">(A1613+(C1613*D1613*COS(RADIANS(E1613))^2-F1613*C1613*D1613)*TAN(RADIANS(B1613)))/(C1613*D1613*SIN(RADIANS(E1613))*COS(RADIANS(E1613)))</f>
        <v>1.28662564482567</v>
      </c>
    </row>
    <row r="1614" customFormat="false" ht="15" hidden="false" customHeight="false" outlineLevel="0" collapsed="false">
      <c r="A1614" s="0" t="n">
        <v>18.771</v>
      </c>
      <c r="B1614" s="0" t="n">
        <v>39.633</v>
      </c>
      <c r="C1614" s="0" t="n">
        <v>18.9</v>
      </c>
      <c r="D1614" s="0" t="n">
        <v>16.188</v>
      </c>
      <c r="E1614" s="0" t="n">
        <v>27.076</v>
      </c>
      <c r="F1614" s="0" t="n">
        <v>0.0373</v>
      </c>
      <c r="G1614" s="12" t="n">
        <f aca="false">(A1614+(C1614*D1614*COS(RADIANS(E1614))^2-F1614*C1614*D1614)*TAN(RADIANS(B1614)))/(C1614*D1614*SIN(RADIANS(E1614))*COS(RADIANS(E1614)))</f>
        <v>1.69535538924337</v>
      </c>
    </row>
    <row r="1615" customFormat="false" ht="15" hidden="false" customHeight="false" outlineLevel="0" collapsed="false">
      <c r="A1615" s="0" t="n">
        <v>11.06</v>
      </c>
      <c r="B1615" s="0" t="n">
        <v>29.76</v>
      </c>
      <c r="C1615" s="0" t="n">
        <v>19.629</v>
      </c>
      <c r="D1615" s="0" t="n">
        <v>8.725</v>
      </c>
      <c r="E1615" s="0" t="n">
        <v>28.919</v>
      </c>
      <c r="F1615" s="0" t="n">
        <v>0.1737</v>
      </c>
      <c r="G1615" s="12" t="n">
        <f aca="false">(A1615+(C1615*D1615*COS(RADIANS(E1615))^2-F1615*C1615*D1615)*TAN(RADIANS(B1615)))/(C1615*D1615*SIN(RADIANS(E1615))*COS(RADIANS(E1615)))</f>
        <v>0.952891817192063</v>
      </c>
    </row>
    <row r="1616" customFormat="false" ht="15" hidden="false" customHeight="false" outlineLevel="0" collapsed="false">
      <c r="A1616" s="0" t="n">
        <v>13.178</v>
      </c>
      <c r="B1616" s="0" t="n">
        <v>35.444</v>
      </c>
      <c r="C1616" s="0" t="n">
        <v>19.143</v>
      </c>
      <c r="D1616" s="0" t="n">
        <v>20.167</v>
      </c>
      <c r="E1616" s="0" t="n">
        <v>27.065</v>
      </c>
      <c r="F1616" s="0" t="n">
        <v>0.1646</v>
      </c>
      <c r="G1616" s="12" t="n">
        <f aca="false">(A1616+(C1616*D1616*COS(RADIANS(E1616))^2-F1616*C1616*D1616)*TAN(RADIANS(B1616)))/(C1616*D1616*SIN(RADIANS(E1616))*COS(RADIANS(E1616)))</f>
        <v>1.18818929576292</v>
      </c>
    </row>
    <row r="1617" customFormat="false" ht="15" hidden="false" customHeight="false" outlineLevel="0" collapsed="false">
      <c r="A1617" s="0" t="n">
        <v>9.454</v>
      </c>
      <c r="B1617" s="0" t="n">
        <v>26.917</v>
      </c>
      <c r="C1617" s="0" t="n">
        <v>20.997</v>
      </c>
      <c r="D1617" s="0" t="n">
        <v>17.918</v>
      </c>
      <c r="E1617" s="0" t="n">
        <v>30.689</v>
      </c>
      <c r="F1617" s="0" t="n">
        <v>0.2749</v>
      </c>
      <c r="G1617" s="12" t="n">
        <f aca="false">(A1617+(C1617*D1617*COS(RADIANS(E1617))^2-F1617*C1617*D1617)*TAN(RADIANS(B1617)))/(C1617*D1617*SIN(RADIANS(E1617))*COS(RADIANS(E1617)))</f>
        <v>0.594701827535375</v>
      </c>
    </row>
    <row r="1618" customFormat="false" ht="15" hidden="false" customHeight="false" outlineLevel="0" collapsed="false">
      <c r="A1618" s="0" t="n">
        <v>9.36</v>
      </c>
      <c r="B1618" s="0" t="n">
        <v>39.375</v>
      </c>
      <c r="C1618" s="0" t="n">
        <v>20.116</v>
      </c>
      <c r="D1618" s="0" t="n">
        <v>10.412</v>
      </c>
      <c r="E1618" s="0" t="n">
        <v>28.084</v>
      </c>
      <c r="F1618" s="0" t="n">
        <v>0.2305</v>
      </c>
      <c r="G1618" s="12" t="n">
        <f aca="false">(A1618+(C1618*D1618*COS(RADIANS(E1618))^2-F1618*C1618*D1618)*TAN(RADIANS(B1618)))/(C1618*D1618*SIN(RADIANS(E1618))*COS(RADIANS(E1618)))</f>
        <v>1.19017207515505</v>
      </c>
    </row>
    <row r="1619" customFormat="false" ht="15" hidden="false" customHeight="false" outlineLevel="0" collapsed="false">
      <c r="A1619" s="0" t="n">
        <v>14.305</v>
      </c>
      <c r="B1619" s="0" t="n">
        <v>36.348</v>
      </c>
      <c r="C1619" s="0" t="n">
        <v>20.799</v>
      </c>
      <c r="D1619" s="0" t="n">
        <v>17.539</v>
      </c>
      <c r="E1619" s="0" t="n">
        <v>28.604</v>
      </c>
      <c r="F1619" s="0" t="n">
        <v>0.3279</v>
      </c>
      <c r="G1619" s="12" t="n">
        <f aca="false">(A1619+(C1619*D1619*COS(RADIANS(E1619))^2-F1619*C1619*D1619)*TAN(RADIANS(B1619)))/(C1619*D1619*SIN(RADIANS(E1619))*COS(RADIANS(E1619)))</f>
        <v>0.868680082259857</v>
      </c>
    </row>
    <row r="1620" customFormat="false" ht="15" hidden="false" customHeight="false" outlineLevel="0" collapsed="false">
      <c r="A1620" s="0" t="n">
        <v>12.082</v>
      </c>
      <c r="B1620" s="0" t="n">
        <v>40.428</v>
      </c>
      <c r="C1620" s="0" t="n">
        <v>18.759</v>
      </c>
      <c r="D1620" s="0" t="n">
        <v>16.881</v>
      </c>
      <c r="E1620" s="0" t="n">
        <v>29.18</v>
      </c>
      <c r="F1620" s="0" t="n">
        <v>0.1758</v>
      </c>
      <c r="G1620" s="12" t="n">
        <f aca="false">(A1620+(C1620*D1620*COS(RADIANS(E1620))^2-F1620*C1620*D1620)*TAN(RADIANS(B1620)))/(C1620*D1620*SIN(RADIANS(E1620))*COS(RADIANS(E1620)))</f>
        <v>1.26336525552467</v>
      </c>
    </row>
    <row r="1621" customFormat="false" ht="15" hidden="false" customHeight="false" outlineLevel="0" collapsed="false">
      <c r="A1621" s="0" t="n">
        <v>16.512</v>
      </c>
      <c r="B1621" s="0" t="n">
        <v>33.141</v>
      </c>
      <c r="C1621" s="0" t="n">
        <v>19.901</v>
      </c>
      <c r="D1621" s="0" t="n">
        <v>16.106</v>
      </c>
      <c r="E1621" s="0" t="n">
        <v>24.689</v>
      </c>
      <c r="F1621" s="0" t="n">
        <v>0.1364</v>
      </c>
      <c r="G1621" s="12" t="n">
        <f aca="false">(A1621+(C1621*D1621*COS(RADIANS(E1621))^2-F1621*C1621*D1621)*TAN(RADIANS(B1621)))/(C1621*D1621*SIN(RADIANS(E1621))*COS(RADIANS(E1621)))</f>
        <v>1.32132901657387</v>
      </c>
    </row>
    <row r="1622" customFormat="false" ht="15" hidden="false" customHeight="false" outlineLevel="0" collapsed="false">
      <c r="A1622" s="0" t="n">
        <v>16.81</v>
      </c>
      <c r="B1622" s="0" t="n">
        <v>30.864</v>
      </c>
      <c r="C1622" s="0" t="n">
        <v>19.588</v>
      </c>
      <c r="D1622" s="0" t="n">
        <v>14.532</v>
      </c>
      <c r="E1622" s="0" t="n">
        <v>25.518</v>
      </c>
      <c r="F1622" s="0" t="n">
        <v>0</v>
      </c>
      <c r="G1622" s="12" t="n">
        <f aca="false">(A1622+(C1622*D1622*COS(RADIANS(E1622))^2-F1622*C1622*D1622)*TAN(RADIANS(B1622)))/(C1622*D1622*SIN(RADIANS(E1622))*COS(RADIANS(E1622)))</f>
        <v>1.40385500396651</v>
      </c>
    </row>
    <row r="1623" customFormat="false" ht="15" hidden="false" customHeight="false" outlineLevel="0" collapsed="false">
      <c r="A1623" s="0" t="n">
        <v>16.283</v>
      </c>
      <c r="B1623" s="0" t="n">
        <v>37.428</v>
      </c>
      <c r="C1623" s="0" t="n">
        <v>19.499</v>
      </c>
      <c r="D1623" s="0" t="n">
        <v>12.527</v>
      </c>
      <c r="E1623" s="0" t="n">
        <v>31.351</v>
      </c>
      <c r="F1623" s="0" t="n">
        <v>0.1766</v>
      </c>
      <c r="G1623" s="12" t="n">
        <f aca="false">(A1623+(C1623*D1623*COS(RADIANS(E1623))^2-F1623*C1623*D1623)*TAN(RADIANS(B1623)))/(C1623*D1623*SIN(RADIANS(E1623))*COS(RADIANS(E1623)))</f>
        <v>1.10206947689248</v>
      </c>
    </row>
    <row r="1624" customFormat="false" ht="15" hidden="false" customHeight="false" outlineLevel="0" collapsed="false">
      <c r="A1624" s="0" t="n">
        <v>15.954</v>
      </c>
      <c r="B1624" s="0" t="n">
        <v>34.498</v>
      </c>
      <c r="C1624" s="0" t="n">
        <v>21.823</v>
      </c>
      <c r="D1624" s="0" t="n">
        <v>16.633</v>
      </c>
      <c r="E1624" s="0" t="n">
        <v>28.448</v>
      </c>
      <c r="F1624" s="0" t="n">
        <v>0.0323</v>
      </c>
      <c r="G1624" s="12" t="n">
        <f aca="false">(A1624+(C1624*D1624*COS(RADIANS(E1624))^2-F1624*C1624*D1624)*TAN(RADIANS(B1624)))/(C1624*D1624*SIN(RADIANS(E1624))*COS(RADIANS(E1624)))</f>
        <v>1.32040463659942</v>
      </c>
    </row>
    <row r="1625" customFormat="false" ht="15" hidden="false" customHeight="false" outlineLevel="0" collapsed="false">
      <c r="A1625" s="0" t="n">
        <v>21.311</v>
      </c>
      <c r="B1625" s="0" t="n">
        <v>38.337</v>
      </c>
      <c r="C1625" s="0" t="n">
        <v>19.975</v>
      </c>
      <c r="D1625" s="0" t="n">
        <v>15.58</v>
      </c>
      <c r="E1625" s="0" t="n">
        <v>27.806</v>
      </c>
      <c r="F1625" s="0" t="n">
        <v>0.1508</v>
      </c>
      <c r="G1625" s="12" t="n">
        <f aca="false">(A1625+(C1625*D1625*COS(RADIANS(E1625))^2-F1625*C1625*D1625)*TAN(RADIANS(B1625)))/(C1625*D1625*SIN(RADIANS(E1625))*COS(RADIANS(E1625)))</f>
        <v>1.37645128004435</v>
      </c>
    </row>
    <row r="1626" customFormat="false" ht="15" hidden="false" customHeight="false" outlineLevel="0" collapsed="false">
      <c r="A1626" s="0" t="n">
        <v>10.73</v>
      </c>
      <c r="B1626" s="0" t="n">
        <v>37.382</v>
      </c>
      <c r="C1626" s="0" t="n">
        <v>18.299</v>
      </c>
      <c r="D1626" s="0" t="n">
        <v>18.018</v>
      </c>
      <c r="E1626" s="0" t="n">
        <v>30.383</v>
      </c>
      <c r="F1626" s="0" t="n">
        <v>0.0453</v>
      </c>
      <c r="G1626" s="12" t="n">
        <f aca="false">(A1626+(C1626*D1626*COS(RADIANS(E1626))^2-F1626*C1626*D1626)*TAN(RADIANS(B1626)))/(C1626*D1626*SIN(RADIANS(E1626))*COS(RADIANS(E1626)))</f>
        <v>1.29845419916269</v>
      </c>
    </row>
    <row r="1627" customFormat="false" ht="15" hidden="false" customHeight="false" outlineLevel="0" collapsed="false">
      <c r="A1627" s="0" t="n">
        <v>14.78</v>
      </c>
      <c r="B1627" s="0" t="n">
        <v>34.066</v>
      </c>
      <c r="C1627" s="0" t="n">
        <v>16.39</v>
      </c>
      <c r="D1627" s="0" t="n">
        <v>11.362</v>
      </c>
      <c r="E1627" s="0" t="n">
        <v>30.269</v>
      </c>
      <c r="F1627" s="0" t="n">
        <v>0.2645</v>
      </c>
      <c r="G1627" s="12" t="n">
        <f aca="false">(A1627+(C1627*D1627*COS(RADIANS(E1627))^2-F1627*C1627*D1627)*TAN(RADIANS(B1627)))/(C1627*D1627*SIN(RADIANS(E1627))*COS(RADIANS(E1627)))</f>
        <v>0.930072210129173</v>
      </c>
    </row>
    <row r="1628" customFormat="false" ht="15" hidden="false" customHeight="false" outlineLevel="0" collapsed="false">
      <c r="A1628" s="0" t="n">
        <v>19.531</v>
      </c>
      <c r="B1628" s="0" t="n">
        <v>34.903</v>
      </c>
      <c r="C1628" s="0" t="n">
        <v>20.887</v>
      </c>
      <c r="D1628" s="0" t="n">
        <v>16.447</v>
      </c>
      <c r="E1628" s="0" t="n">
        <v>27.067</v>
      </c>
      <c r="F1628" s="0" t="n">
        <v>0.2161</v>
      </c>
      <c r="G1628" s="12" t="n">
        <f aca="false">(A1628+(C1628*D1628*COS(RADIANS(E1628))^2-F1628*C1628*D1628)*TAN(RADIANS(B1628)))/(C1628*D1628*SIN(RADIANS(E1628))*COS(RADIANS(E1628)))</f>
        <v>1.13355913575991</v>
      </c>
    </row>
    <row r="1629" customFormat="false" ht="15" hidden="false" customHeight="false" outlineLevel="0" collapsed="false">
      <c r="A1629" s="0" t="n">
        <v>20.058</v>
      </c>
      <c r="B1629" s="0" t="n">
        <v>34.283</v>
      </c>
      <c r="C1629" s="0" t="n">
        <v>20.077</v>
      </c>
      <c r="D1629" s="0" t="n">
        <v>14.091</v>
      </c>
      <c r="E1629" s="0" t="n">
        <v>29.042</v>
      </c>
      <c r="F1629" s="0" t="n">
        <v>0.1301</v>
      </c>
      <c r="G1629" s="12" t="n">
        <f aca="false">(A1629+(C1629*D1629*COS(RADIANS(E1629))^2-F1629*C1629*D1629)*TAN(RADIANS(B1629)))/(C1629*D1629*SIN(RADIANS(E1629))*COS(RADIANS(E1629)))</f>
        <v>1.18581001654244</v>
      </c>
    </row>
    <row r="1630" customFormat="false" ht="15" hidden="false" customHeight="false" outlineLevel="0" collapsed="false">
      <c r="A1630" s="0" t="n">
        <v>9.313</v>
      </c>
      <c r="B1630" s="0" t="n">
        <v>35.081</v>
      </c>
      <c r="C1630" s="0" t="n">
        <v>20.685</v>
      </c>
      <c r="D1630" s="0" t="n">
        <v>15.526</v>
      </c>
      <c r="E1630" s="0" t="n">
        <v>27.315</v>
      </c>
      <c r="F1630" s="0" t="n">
        <v>0.1596</v>
      </c>
      <c r="G1630" s="12" t="n">
        <f aca="false">(A1630+(C1630*D1630*COS(RADIANS(E1630))^2-F1630*C1630*D1630)*TAN(RADIANS(B1630)))/(C1630*D1630*SIN(RADIANS(E1630))*COS(RADIANS(E1630)))</f>
        <v>1.15604242576833</v>
      </c>
    </row>
    <row r="1631" customFormat="false" ht="15" hidden="false" customHeight="false" outlineLevel="0" collapsed="false">
      <c r="A1631" s="0" t="n">
        <v>13.751</v>
      </c>
      <c r="B1631" s="0" t="n">
        <v>33.457</v>
      </c>
      <c r="C1631" s="0" t="n">
        <v>21.903</v>
      </c>
      <c r="D1631" s="0" t="n">
        <v>13.24</v>
      </c>
      <c r="E1631" s="0" t="n">
        <v>26.792</v>
      </c>
      <c r="F1631" s="0" t="n">
        <v>0.1392</v>
      </c>
      <c r="G1631" s="12" t="n">
        <f aca="false">(A1631+(C1631*D1631*COS(RADIANS(E1631))^2-F1631*C1631*D1631)*TAN(RADIANS(B1631)))/(C1631*D1631*SIN(RADIANS(E1631))*COS(RADIANS(E1631)))</f>
        <v>1.1978678295795</v>
      </c>
    </row>
    <row r="1632" customFormat="false" ht="15" hidden="false" customHeight="false" outlineLevel="0" collapsed="false">
      <c r="A1632" s="0" t="n">
        <v>20.432</v>
      </c>
      <c r="B1632" s="0" t="n">
        <v>36.835</v>
      </c>
      <c r="C1632" s="0" t="n">
        <v>20.788</v>
      </c>
      <c r="D1632" s="0" t="n">
        <v>7.705</v>
      </c>
      <c r="E1632" s="0" t="n">
        <v>27.36</v>
      </c>
      <c r="F1632" s="0" t="n">
        <v>0.1192</v>
      </c>
      <c r="G1632" s="12" t="n">
        <f aca="false">(A1632+(C1632*D1632*COS(RADIANS(E1632))^2-F1632*C1632*D1632)*TAN(RADIANS(B1632)))/(C1632*D1632*SIN(RADIANS(E1632))*COS(RADIANS(E1632)))</f>
        <v>1.54131031835513</v>
      </c>
    </row>
    <row r="1633" customFormat="false" ht="15" hidden="false" customHeight="false" outlineLevel="0" collapsed="false">
      <c r="A1633" s="0" t="n">
        <v>17.032</v>
      </c>
      <c r="B1633" s="0" t="n">
        <v>29.773</v>
      </c>
      <c r="C1633" s="0" t="n">
        <v>20.207</v>
      </c>
      <c r="D1633" s="0" t="n">
        <v>16.652</v>
      </c>
      <c r="E1633" s="0" t="n">
        <v>24.45</v>
      </c>
      <c r="F1633" s="0" t="n">
        <v>0.0043</v>
      </c>
      <c r="G1633" s="12" t="n">
        <f aca="false">(A1633+(C1633*D1633*COS(RADIANS(E1633))^2-F1633*C1633*D1633)*TAN(RADIANS(B1633)))/(C1633*D1633*SIN(RADIANS(E1633))*COS(RADIANS(E1633)))</f>
        <v>1.38603494250816</v>
      </c>
    </row>
    <row r="1634" customFormat="false" ht="15" hidden="false" customHeight="false" outlineLevel="0" collapsed="false">
      <c r="A1634" s="0" t="n">
        <v>15.781</v>
      </c>
      <c r="B1634" s="0" t="n">
        <v>29.174</v>
      </c>
      <c r="C1634" s="0" t="n">
        <v>19.746</v>
      </c>
      <c r="D1634" s="0" t="n">
        <v>7.541</v>
      </c>
      <c r="E1634" s="0" t="n">
        <v>25.634</v>
      </c>
      <c r="F1634" s="0" t="n">
        <v>0.0915</v>
      </c>
      <c r="G1634" s="12" t="n">
        <f aca="false">(A1634+(C1634*D1634*COS(RADIANS(E1634))^2-F1634*C1634*D1634)*TAN(RADIANS(B1634)))/(C1634*D1634*SIN(RADIANS(E1634))*COS(RADIANS(E1634)))</f>
        <v>1.30420804541491</v>
      </c>
    </row>
    <row r="1635" customFormat="false" ht="15" hidden="false" customHeight="false" outlineLevel="0" collapsed="false">
      <c r="A1635" s="0" t="n">
        <v>14.129</v>
      </c>
      <c r="B1635" s="0" t="n">
        <v>33.642</v>
      </c>
      <c r="C1635" s="0" t="n">
        <v>20.587</v>
      </c>
      <c r="D1635" s="0" t="n">
        <v>16.444</v>
      </c>
      <c r="E1635" s="0" t="n">
        <v>27.179</v>
      </c>
      <c r="F1635" s="0" t="n">
        <v>0.1637</v>
      </c>
      <c r="G1635" s="12" t="n">
        <f aca="false">(A1635+(C1635*D1635*COS(RADIANS(E1635))^2-F1635*C1635*D1635)*TAN(RADIANS(B1635)))/(C1635*D1635*SIN(RADIANS(E1635))*COS(RADIANS(E1635)))</f>
        <v>1.13062692019613</v>
      </c>
    </row>
    <row r="1636" customFormat="false" ht="15" hidden="false" customHeight="false" outlineLevel="0" collapsed="false">
      <c r="A1636" s="0" t="n">
        <v>13.465</v>
      </c>
      <c r="B1636" s="0" t="n">
        <v>33.099</v>
      </c>
      <c r="C1636" s="0" t="n">
        <v>19.602</v>
      </c>
      <c r="D1636" s="0" t="n">
        <v>11.777</v>
      </c>
      <c r="E1636" s="0" t="n">
        <v>27.975</v>
      </c>
      <c r="F1636" s="0" t="n">
        <v>0.0954</v>
      </c>
      <c r="G1636" s="12" t="n">
        <f aca="false">(A1636+(C1636*D1636*COS(RADIANS(E1636))^2-F1636*C1636*D1636)*TAN(RADIANS(B1636)))/(C1636*D1636*SIN(RADIANS(E1636))*COS(RADIANS(E1636)))</f>
        <v>1.2179553236652</v>
      </c>
    </row>
    <row r="1637" customFormat="false" ht="15" hidden="false" customHeight="false" outlineLevel="0" collapsed="false">
      <c r="A1637" s="0" t="n">
        <v>16.153</v>
      </c>
      <c r="B1637" s="0" t="n">
        <v>33.411</v>
      </c>
      <c r="C1637" s="0" t="n">
        <v>19.589</v>
      </c>
      <c r="D1637" s="0" t="n">
        <v>13.116</v>
      </c>
      <c r="E1637" s="0" t="n">
        <v>30.304</v>
      </c>
      <c r="F1637" s="0" t="n">
        <v>0.046</v>
      </c>
      <c r="G1637" s="12" t="n">
        <f aca="false">(A1637+(C1637*D1637*COS(RADIANS(E1637))^2-F1637*C1637*D1637)*TAN(RADIANS(B1637)))/(C1637*D1637*SIN(RADIANS(E1637))*COS(RADIANS(E1637)))</f>
        <v>1.2033424964833</v>
      </c>
    </row>
    <row r="1638" customFormat="false" ht="15" hidden="false" customHeight="false" outlineLevel="0" collapsed="false">
      <c r="A1638" s="0" t="n">
        <v>13.991</v>
      </c>
      <c r="B1638" s="0" t="n">
        <v>38.717</v>
      </c>
      <c r="C1638" s="0" t="n">
        <v>20.383</v>
      </c>
      <c r="D1638" s="0" t="n">
        <v>20.024</v>
      </c>
      <c r="E1638" s="0" t="n">
        <v>25.191</v>
      </c>
      <c r="F1638" s="0" t="n">
        <v>0.1234</v>
      </c>
      <c r="G1638" s="12" t="n">
        <f aca="false">(A1638+(C1638*D1638*COS(RADIANS(E1638))^2-F1638*C1638*D1638)*TAN(RADIANS(B1638)))/(C1638*D1638*SIN(RADIANS(E1638))*COS(RADIANS(E1638)))</f>
        <v>1.53642721095151</v>
      </c>
    </row>
    <row r="1639" customFormat="false" ht="15" hidden="false" customHeight="false" outlineLevel="0" collapsed="false">
      <c r="A1639" s="0" t="n">
        <v>14.83</v>
      </c>
      <c r="B1639" s="0" t="n">
        <v>35.382</v>
      </c>
      <c r="C1639" s="0" t="n">
        <v>21.372</v>
      </c>
      <c r="D1639" s="0" t="n">
        <v>16.184</v>
      </c>
      <c r="E1639" s="0" t="n">
        <v>30.171</v>
      </c>
      <c r="F1639" s="0" t="n">
        <v>0.2247</v>
      </c>
      <c r="G1639" s="12" t="n">
        <f aca="false">(A1639+(C1639*D1639*COS(RADIANS(E1639))^2-F1639*C1639*D1639)*TAN(RADIANS(B1639)))/(C1639*D1639*SIN(RADIANS(E1639))*COS(RADIANS(E1639)))</f>
        <v>0.953055075462042</v>
      </c>
    </row>
    <row r="1640" customFormat="false" ht="15" hidden="false" customHeight="false" outlineLevel="0" collapsed="false">
      <c r="A1640" s="0" t="n">
        <v>15.314</v>
      </c>
      <c r="B1640" s="0" t="n">
        <v>37.321</v>
      </c>
      <c r="C1640" s="0" t="n">
        <v>19.775</v>
      </c>
      <c r="D1640" s="0" t="n">
        <v>15.077</v>
      </c>
      <c r="E1640" s="0" t="n">
        <v>28.128</v>
      </c>
      <c r="F1640" s="0" t="n">
        <v>0.127</v>
      </c>
      <c r="G1640" s="12" t="n">
        <f aca="false">(A1640+(C1640*D1640*COS(RADIANS(E1640))^2-F1640*C1640*D1640)*TAN(RADIANS(B1640)))/(C1640*D1640*SIN(RADIANS(E1640))*COS(RADIANS(E1640)))</f>
        <v>1.31678840749916</v>
      </c>
    </row>
    <row r="1641" customFormat="false" ht="15" hidden="false" customHeight="false" outlineLevel="0" collapsed="false">
      <c r="A1641" s="0" t="n">
        <v>12.288</v>
      </c>
      <c r="B1641" s="0" t="n">
        <v>36.552</v>
      </c>
      <c r="C1641" s="0" t="n">
        <v>18.594</v>
      </c>
      <c r="D1641" s="0" t="n">
        <v>13.037</v>
      </c>
      <c r="E1641" s="0" t="n">
        <v>28.914</v>
      </c>
      <c r="F1641" s="0" t="n">
        <v>0.1276</v>
      </c>
      <c r="G1641" s="12" t="n">
        <f aca="false">(A1641+(C1641*D1641*COS(RADIANS(E1641))^2-F1641*C1641*D1641)*TAN(RADIANS(B1641)))/(C1641*D1641*SIN(RADIANS(E1641))*COS(RADIANS(E1641)))</f>
        <v>1.23846353055177</v>
      </c>
    </row>
    <row r="1642" customFormat="false" ht="15" hidden="false" customHeight="false" outlineLevel="0" collapsed="false">
      <c r="A1642" s="0" t="n">
        <v>17.129</v>
      </c>
      <c r="B1642" s="0" t="n">
        <v>39.522</v>
      </c>
      <c r="C1642" s="0" t="n">
        <v>19.326</v>
      </c>
      <c r="D1642" s="0" t="n">
        <v>14.836</v>
      </c>
      <c r="E1642" s="0" t="n">
        <v>23.439</v>
      </c>
      <c r="F1642" s="0" t="n">
        <v>0.1772</v>
      </c>
      <c r="G1642" s="12" t="n">
        <f aca="false">(A1642+(C1642*D1642*COS(RADIANS(E1642))^2-F1642*C1642*D1642)*TAN(RADIANS(B1642)))/(C1642*D1642*SIN(RADIANS(E1642))*COS(RADIANS(E1642)))</f>
        <v>1.66599525060985</v>
      </c>
    </row>
    <row r="1643" customFormat="false" ht="15" hidden="false" customHeight="false" outlineLevel="0" collapsed="false">
      <c r="A1643" s="0" t="n">
        <v>26.657</v>
      </c>
      <c r="B1643" s="0" t="n">
        <v>33.07</v>
      </c>
      <c r="C1643" s="0" t="n">
        <v>20.344</v>
      </c>
      <c r="D1643" s="0" t="n">
        <v>16.902</v>
      </c>
      <c r="E1643" s="0" t="n">
        <v>28.1</v>
      </c>
      <c r="F1643" s="0" t="n">
        <v>0.1889</v>
      </c>
      <c r="G1643" s="12" t="n">
        <f aca="false">(A1643+(C1643*D1643*COS(RADIANS(E1643))^2-F1643*C1643*D1643)*TAN(RADIANS(B1643)))/(C1643*D1643*SIN(RADIANS(E1643))*COS(RADIANS(E1643)))</f>
        <v>1.11003383135971</v>
      </c>
    </row>
    <row r="1644" customFormat="false" ht="15" hidden="false" customHeight="false" outlineLevel="0" collapsed="false">
      <c r="A1644" s="0" t="n">
        <v>7.892</v>
      </c>
      <c r="B1644" s="0" t="n">
        <v>36.717</v>
      </c>
      <c r="C1644" s="0" t="n">
        <v>19.393</v>
      </c>
      <c r="D1644" s="0" t="n">
        <v>11.432</v>
      </c>
      <c r="E1644" s="0" t="n">
        <v>30.748</v>
      </c>
      <c r="F1644" s="0" t="n">
        <v>0.2032</v>
      </c>
      <c r="G1644" s="12" t="n">
        <f aca="false">(A1644+(C1644*D1644*COS(RADIANS(E1644))^2-F1644*C1644*D1644)*TAN(RADIANS(B1644)))/(C1644*D1644*SIN(RADIANS(E1644))*COS(RADIANS(E1644)))</f>
        <v>0.989838595703086</v>
      </c>
    </row>
    <row r="1645" customFormat="false" ht="15" hidden="false" customHeight="false" outlineLevel="0" collapsed="false">
      <c r="A1645" s="0" t="n">
        <v>16.296</v>
      </c>
      <c r="B1645" s="0" t="n">
        <v>34.343</v>
      </c>
      <c r="C1645" s="0" t="n">
        <v>20.381</v>
      </c>
      <c r="D1645" s="0" t="n">
        <v>13.866</v>
      </c>
      <c r="E1645" s="0" t="n">
        <v>27.615</v>
      </c>
      <c r="F1645" s="0" t="n">
        <v>0.1082</v>
      </c>
      <c r="G1645" s="12" t="n">
        <f aca="false">(A1645+(C1645*D1645*COS(RADIANS(E1645))^2-F1645*C1645*D1645)*TAN(RADIANS(B1645)))/(C1645*D1645*SIN(RADIANS(E1645))*COS(RADIANS(E1645)))</f>
        <v>1.26651275748409</v>
      </c>
    </row>
    <row r="1646" customFormat="false" ht="15" hidden="false" customHeight="false" outlineLevel="0" collapsed="false">
      <c r="A1646" s="0" t="n">
        <v>11.959</v>
      </c>
      <c r="B1646" s="0" t="n">
        <v>31.662</v>
      </c>
      <c r="C1646" s="0" t="n">
        <v>19.314</v>
      </c>
      <c r="D1646" s="0" t="n">
        <v>13.406</v>
      </c>
      <c r="E1646" s="0" t="n">
        <v>27.435</v>
      </c>
      <c r="F1646" s="0" t="n">
        <v>0.1636</v>
      </c>
      <c r="G1646" s="12" t="n">
        <f aca="false">(A1646+(C1646*D1646*COS(RADIANS(E1646))^2-F1646*C1646*D1646)*TAN(RADIANS(B1646)))/(C1646*D1646*SIN(RADIANS(E1646))*COS(RADIANS(E1646)))</f>
        <v>1.05417608133057</v>
      </c>
    </row>
    <row r="1647" customFormat="false" ht="15" hidden="false" customHeight="false" outlineLevel="0" collapsed="false">
      <c r="A1647" s="0" t="n">
        <v>17.31</v>
      </c>
      <c r="B1647" s="0" t="n">
        <v>31.337</v>
      </c>
      <c r="C1647" s="0" t="n">
        <v>20.086</v>
      </c>
      <c r="D1647" s="0" t="n">
        <v>12.528</v>
      </c>
      <c r="E1647" s="0" t="n">
        <v>29.574</v>
      </c>
      <c r="F1647" s="0" t="n">
        <v>0.121</v>
      </c>
      <c r="G1647" s="12" t="n">
        <f aca="false">(A1647+(C1647*D1647*COS(RADIANS(E1647))^2-F1647*C1647*D1647)*TAN(RADIANS(B1647)))/(C1647*D1647*SIN(RADIANS(E1647))*COS(RADIANS(E1647)))</f>
        <v>1.06159685776372</v>
      </c>
    </row>
    <row r="1648" customFormat="false" ht="15" hidden="false" customHeight="false" outlineLevel="0" collapsed="false">
      <c r="A1648" s="0" t="n">
        <v>15.186</v>
      </c>
      <c r="B1648" s="0" t="n">
        <v>34.329</v>
      </c>
      <c r="C1648" s="0" t="n">
        <v>20.382</v>
      </c>
      <c r="D1648" s="0" t="n">
        <v>12.443</v>
      </c>
      <c r="E1648" s="0" t="n">
        <v>25.791</v>
      </c>
      <c r="F1648" s="0" t="n">
        <v>0.1741</v>
      </c>
      <c r="G1648" s="12" t="n">
        <f aca="false">(A1648+(C1648*D1648*COS(RADIANS(E1648))^2-F1648*C1648*D1648)*TAN(RADIANS(B1648)))/(C1648*D1648*SIN(RADIANS(E1648))*COS(RADIANS(E1648)))</f>
        <v>1.26256283577108</v>
      </c>
    </row>
    <row r="1649" customFormat="false" ht="15" hidden="false" customHeight="false" outlineLevel="0" collapsed="false">
      <c r="A1649" s="0" t="n">
        <v>18.047</v>
      </c>
      <c r="B1649" s="0" t="n">
        <v>38.158</v>
      </c>
      <c r="C1649" s="0" t="n">
        <v>18.619</v>
      </c>
      <c r="D1649" s="0" t="n">
        <v>19.347</v>
      </c>
      <c r="E1649" s="0" t="n">
        <v>26.885</v>
      </c>
      <c r="F1649" s="0" t="n">
        <v>0.1399</v>
      </c>
      <c r="G1649" s="12" t="n">
        <f aca="false">(A1649+(C1649*D1649*COS(RADIANS(E1649))^2-F1649*C1649*D1649)*TAN(RADIANS(B1649)))/(C1649*D1649*SIN(RADIANS(E1649))*COS(RADIANS(E1649)))</f>
        <v>1.40144711704425</v>
      </c>
    </row>
    <row r="1650" customFormat="false" ht="15" hidden="false" customHeight="false" outlineLevel="0" collapsed="false">
      <c r="A1650" s="0" t="n">
        <v>19.702</v>
      </c>
      <c r="B1650" s="0" t="n">
        <v>33.242</v>
      </c>
      <c r="C1650" s="0" t="n">
        <v>21.299</v>
      </c>
      <c r="D1650" s="0" t="n">
        <v>16.003</v>
      </c>
      <c r="E1650" s="0" t="n">
        <v>27.496</v>
      </c>
      <c r="F1650" s="0" t="n">
        <v>0.1497</v>
      </c>
      <c r="G1650" s="12" t="n">
        <f aca="false">(A1650+(C1650*D1650*COS(RADIANS(E1650))^2-F1650*C1650*D1650)*TAN(RADIANS(B1650)))/(C1650*D1650*SIN(RADIANS(E1650))*COS(RADIANS(E1650)))</f>
        <v>1.16084197228329</v>
      </c>
    </row>
    <row r="1651" customFormat="false" ht="15" hidden="false" customHeight="false" outlineLevel="0" collapsed="false">
      <c r="A1651" s="0" t="n">
        <v>15.77</v>
      </c>
      <c r="B1651" s="0" t="n">
        <v>33.474</v>
      </c>
      <c r="C1651" s="0" t="n">
        <v>21.771</v>
      </c>
      <c r="D1651" s="0" t="n">
        <v>17.588</v>
      </c>
      <c r="E1651" s="0" t="n">
        <v>27.059</v>
      </c>
      <c r="F1651" s="0" t="n">
        <v>0.0397</v>
      </c>
      <c r="G1651" s="12" t="n">
        <f aca="false">(A1651+(C1651*D1651*COS(RADIANS(E1651))^2-F1651*C1651*D1651)*TAN(RADIANS(B1651)))/(C1651*D1651*SIN(RADIANS(E1651))*COS(RADIANS(E1651)))</f>
        <v>1.33130959345643</v>
      </c>
    </row>
    <row r="1652" customFormat="false" ht="15" hidden="false" customHeight="false" outlineLevel="0" collapsed="false">
      <c r="A1652" s="0" t="n">
        <v>19.528</v>
      </c>
      <c r="B1652" s="0" t="n">
        <v>32.909</v>
      </c>
      <c r="C1652" s="0" t="n">
        <v>19.52</v>
      </c>
      <c r="D1652" s="0" t="n">
        <v>14.644</v>
      </c>
      <c r="E1652" s="0" t="n">
        <v>26.354</v>
      </c>
      <c r="F1652" s="0" t="n">
        <v>0.107</v>
      </c>
      <c r="G1652" s="12" t="n">
        <f aca="false">(A1652+(C1652*D1652*COS(RADIANS(E1652))^2-F1652*C1652*D1652)*TAN(RADIANS(B1652)))/(C1652*D1652*SIN(RADIANS(E1652))*COS(RADIANS(E1652)))</f>
        <v>1.30397351584546</v>
      </c>
    </row>
    <row r="1653" customFormat="false" ht="15" hidden="false" customHeight="false" outlineLevel="0" collapsed="false">
      <c r="A1653" s="0" t="n">
        <v>5.623</v>
      </c>
      <c r="B1653" s="0" t="n">
        <v>31.39</v>
      </c>
      <c r="C1653" s="0" t="n">
        <v>20.853</v>
      </c>
      <c r="D1653" s="0" t="n">
        <v>18.007</v>
      </c>
      <c r="E1653" s="0" t="n">
        <v>24.577</v>
      </c>
      <c r="F1653" s="0" t="n">
        <v>0.1304</v>
      </c>
      <c r="G1653" s="12" t="n">
        <f aca="false">(A1653+(C1653*D1653*COS(RADIANS(E1653))^2-F1653*C1653*D1653)*TAN(RADIANS(B1653)))/(C1653*D1653*SIN(RADIANS(E1653))*COS(RADIANS(E1653)))</f>
        <v>1.16335812459034</v>
      </c>
    </row>
    <row r="1654" customFormat="false" ht="15" hidden="false" customHeight="false" outlineLevel="0" collapsed="false">
      <c r="A1654" s="0" t="n">
        <v>21.362</v>
      </c>
      <c r="B1654" s="0" t="n">
        <v>33.536</v>
      </c>
      <c r="C1654" s="0" t="n">
        <v>20.722</v>
      </c>
      <c r="D1654" s="0" t="n">
        <v>20.923</v>
      </c>
      <c r="E1654" s="0" t="n">
        <v>30.719</v>
      </c>
      <c r="F1654" s="0" t="n">
        <v>0.1757</v>
      </c>
      <c r="G1654" s="12" t="n">
        <f aca="false">(A1654+(C1654*D1654*COS(RADIANS(E1654))^2-F1654*C1654*D1654)*TAN(RADIANS(B1654)))/(C1654*D1654*SIN(RADIANS(E1654))*COS(RADIANS(E1654)))</f>
        <v>0.962440858767962</v>
      </c>
    </row>
    <row r="1655" customFormat="false" ht="15" hidden="false" customHeight="false" outlineLevel="0" collapsed="false">
      <c r="A1655" s="0" t="n">
        <v>16.5</v>
      </c>
      <c r="B1655" s="0" t="n">
        <v>38.386</v>
      </c>
      <c r="C1655" s="0" t="n">
        <v>20.468</v>
      </c>
      <c r="D1655" s="0" t="n">
        <v>9.398</v>
      </c>
      <c r="E1655" s="0" t="n">
        <v>26.431</v>
      </c>
      <c r="F1655" s="0" t="n">
        <v>0.1797</v>
      </c>
      <c r="G1655" s="12" t="n">
        <f aca="false">(A1655+(C1655*D1655*COS(RADIANS(E1655))^2-F1655*C1655*D1655)*TAN(RADIANS(B1655)))/(C1655*D1655*SIN(RADIANS(E1655))*COS(RADIANS(E1655)))</f>
        <v>1.45174714888546</v>
      </c>
    </row>
    <row r="1656" customFormat="false" ht="15" hidden="false" customHeight="false" outlineLevel="0" collapsed="false">
      <c r="A1656" s="0" t="n">
        <v>19.311</v>
      </c>
      <c r="B1656" s="0" t="n">
        <v>35.783</v>
      </c>
      <c r="C1656" s="0" t="n">
        <v>18.995</v>
      </c>
      <c r="D1656" s="0" t="n">
        <v>11.04</v>
      </c>
      <c r="E1656" s="0" t="n">
        <v>27.339</v>
      </c>
      <c r="F1656" s="0" t="n">
        <v>0.1599</v>
      </c>
      <c r="G1656" s="12" t="n">
        <f aca="false">(A1656+(C1656*D1656*COS(RADIANS(E1656))^2-F1656*C1656*D1656)*TAN(RADIANS(B1656)))/(C1656*D1656*SIN(RADIANS(E1656))*COS(RADIANS(E1656)))</f>
        <v>1.33735819834667</v>
      </c>
    </row>
    <row r="1657" customFormat="false" ht="15" hidden="false" customHeight="false" outlineLevel="0" collapsed="false">
      <c r="A1657" s="0" t="n">
        <v>10.12</v>
      </c>
      <c r="B1657" s="0" t="n">
        <v>33.28</v>
      </c>
      <c r="C1657" s="0" t="n">
        <v>20.868</v>
      </c>
      <c r="D1657" s="0" t="n">
        <v>12.588</v>
      </c>
      <c r="E1657" s="0" t="n">
        <v>29.549</v>
      </c>
      <c r="F1657" s="0" t="n">
        <v>0.1001</v>
      </c>
      <c r="G1657" s="12" t="n">
        <f aca="false">(A1657+(C1657*D1657*COS(RADIANS(E1657))^2-F1657*C1657*D1657)*TAN(RADIANS(B1657)))/(C1657*D1657*SIN(RADIANS(E1657))*COS(RADIANS(E1657)))</f>
        <v>1.09448268611566</v>
      </c>
    </row>
    <row r="1658" customFormat="false" ht="15" hidden="false" customHeight="false" outlineLevel="0" collapsed="false">
      <c r="A1658" s="0" t="n">
        <v>11.677</v>
      </c>
      <c r="B1658" s="0" t="n">
        <v>33.855</v>
      </c>
      <c r="C1658" s="0" t="n">
        <v>20.712</v>
      </c>
      <c r="D1658" s="0" t="n">
        <v>9.574</v>
      </c>
      <c r="E1658" s="0" t="n">
        <v>24.978</v>
      </c>
      <c r="F1658" s="0" t="n">
        <v>0.1482</v>
      </c>
      <c r="G1658" s="12" t="n">
        <f aca="false">(A1658+(C1658*D1658*COS(RADIANS(E1658))^2-F1658*C1658*D1658)*TAN(RADIANS(B1658)))/(C1658*D1658*SIN(RADIANS(E1658))*COS(RADIANS(E1658)))</f>
        <v>1.33416176534426</v>
      </c>
    </row>
    <row r="1659" customFormat="false" ht="15" hidden="false" customHeight="false" outlineLevel="0" collapsed="false">
      <c r="A1659" s="0" t="n">
        <v>15.584</v>
      </c>
      <c r="B1659" s="0" t="n">
        <v>35.996</v>
      </c>
      <c r="C1659" s="0" t="n">
        <v>19.011</v>
      </c>
      <c r="D1659" s="0" t="n">
        <v>17.739</v>
      </c>
      <c r="E1659" s="0" t="n">
        <v>28.003</v>
      </c>
      <c r="F1659" s="0" t="n">
        <v>0.165</v>
      </c>
      <c r="G1659" s="12" t="n">
        <f aca="false">(A1659+(C1659*D1659*COS(RADIANS(E1659))^2-F1659*C1659*D1659)*TAN(RADIANS(B1659)))/(C1659*D1659*SIN(RADIANS(E1659))*COS(RADIANS(E1659)))</f>
        <v>1.1883889002958</v>
      </c>
    </row>
    <row r="1660" customFormat="false" ht="15" hidden="false" customHeight="false" outlineLevel="0" collapsed="false">
      <c r="A1660" s="0" t="n">
        <v>14.932</v>
      </c>
      <c r="B1660" s="0" t="n">
        <v>33.181</v>
      </c>
      <c r="C1660" s="0" t="n">
        <v>18.182</v>
      </c>
      <c r="D1660" s="0" t="n">
        <v>12.918</v>
      </c>
      <c r="E1660" s="0" t="n">
        <v>28.951</v>
      </c>
      <c r="F1660" s="0" t="n">
        <v>0</v>
      </c>
      <c r="G1660" s="12" t="n">
        <f aca="false">(A1660+(C1660*D1660*COS(RADIANS(E1660))^2-F1660*C1660*D1660)*TAN(RADIANS(B1660)))/(C1660*D1660*SIN(RADIANS(E1660))*COS(RADIANS(E1660)))</f>
        <v>1.33215583586486</v>
      </c>
    </row>
    <row r="1661" customFormat="false" ht="15" hidden="false" customHeight="false" outlineLevel="0" collapsed="false">
      <c r="A1661" s="0" t="n">
        <v>16.132</v>
      </c>
      <c r="B1661" s="0" t="n">
        <v>37.659</v>
      </c>
      <c r="C1661" s="0" t="n">
        <v>19.918</v>
      </c>
      <c r="D1661" s="0" t="n">
        <v>18.735</v>
      </c>
      <c r="E1661" s="0" t="n">
        <v>29.069</v>
      </c>
      <c r="F1661" s="0" t="n">
        <v>0.1307</v>
      </c>
      <c r="G1661" s="12" t="n">
        <f aca="false">(A1661+(C1661*D1661*COS(RADIANS(E1661))^2-F1661*C1661*D1661)*TAN(RADIANS(B1661)))/(C1661*D1661*SIN(RADIANS(E1661))*COS(RADIANS(E1661)))</f>
        <v>1.25259576631054</v>
      </c>
    </row>
    <row r="1662" customFormat="false" ht="15" hidden="false" customHeight="false" outlineLevel="0" collapsed="false">
      <c r="A1662" s="0" t="n">
        <v>19.338</v>
      </c>
      <c r="B1662" s="0" t="n">
        <v>38.714</v>
      </c>
      <c r="C1662" s="0" t="n">
        <v>19.032</v>
      </c>
      <c r="D1662" s="0" t="n">
        <v>15.992</v>
      </c>
      <c r="E1662" s="0" t="n">
        <v>32.698</v>
      </c>
      <c r="F1662" s="0" t="n">
        <v>0.1557</v>
      </c>
      <c r="G1662" s="12" t="n">
        <f aca="false">(A1662+(C1662*D1662*COS(RADIANS(E1662))^2-F1662*C1662*D1662)*TAN(RADIANS(B1662)))/(C1662*D1662*SIN(RADIANS(E1662))*COS(RADIANS(E1662)))</f>
        <v>1.1138760577058</v>
      </c>
    </row>
    <row r="1663" customFormat="false" ht="15" hidden="false" customHeight="false" outlineLevel="0" collapsed="false">
      <c r="A1663" s="0" t="n">
        <v>7.939</v>
      </c>
      <c r="B1663" s="0" t="n">
        <v>31.529</v>
      </c>
      <c r="C1663" s="0" t="n">
        <v>20.637</v>
      </c>
      <c r="D1663" s="0" t="n">
        <v>11.344</v>
      </c>
      <c r="E1663" s="0" t="n">
        <v>29.423</v>
      </c>
      <c r="F1663" s="0" t="n">
        <v>0.2143</v>
      </c>
      <c r="G1663" s="12" t="n">
        <f aca="false">(A1663+(C1663*D1663*COS(RADIANS(E1663))^2-F1663*C1663*D1663)*TAN(RADIANS(B1663)))/(C1663*D1663*SIN(RADIANS(E1663))*COS(RADIANS(E1663)))</f>
        <v>0.85975726522674</v>
      </c>
    </row>
    <row r="1664" customFormat="false" ht="15" hidden="false" customHeight="false" outlineLevel="0" collapsed="false">
      <c r="A1664" s="0" t="n">
        <v>18.895</v>
      </c>
      <c r="B1664" s="0" t="n">
        <v>34.085</v>
      </c>
      <c r="C1664" s="0" t="n">
        <v>19.301</v>
      </c>
      <c r="D1664" s="0" t="n">
        <v>15.965</v>
      </c>
      <c r="E1664" s="0" t="n">
        <v>27.973</v>
      </c>
      <c r="F1664" s="0" t="n">
        <v>0.246</v>
      </c>
      <c r="G1664" s="12" t="n">
        <f aca="false">(A1664+(C1664*D1664*COS(RADIANS(E1664))^2-F1664*C1664*D1664)*TAN(RADIANS(B1664)))/(C1664*D1664*SIN(RADIANS(E1664))*COS(RADIANS(E1664)))</f>
        <v>1.02026984121576</v>
      </c>
    </row>
    <row r="1665" customFormat="false" ht="15" hidden="false" customHeight="false" outlineLevel="0" collapsed="false">
      <c r="A1665" s="0" t="n">
        <v>15.033</v>
      </c>
      <c r="B1665" s="0" t="n">
        <v>36.197</v>
      </c>
      <c r="C1665" s="0" t="n">
        <v>19.749</v>
      </c>
      <c r="D1665" s="0" t="n">
        <v>16.997</v>
      </c>
      <c r="E1665" s="0" t="n">
        <v>27.221</v>
      </c>
      <c r="F1665" s="0" t="n">
        <v>0.1536</v>
      </c>
      <c r="G1665" s="12" t="n">
        <f aca="false">(A1665+(C1665*D1665*COS(RADIANS(E1665))^2-F1665*C1665*D1665)*TAN(RADIANS(B1665)))/(C1665*D1665*SIN(RADIANS(E1665))*COS(RADIANS(E1665)))</f>
        <v>1.25642115928264</v>
      </c>
    </row>
    <row r="1666" customFormat="false" ht="15" hidden="false" customHeight="false" outlineLevel="0" collapsed="false">
      <c r="A1666" s="0" t="n">
        <v>14.185</v>
      </c>
      <c r="B1666" s="0" t="n">
        <v>38.903</v>
      </c>
      <c r="C1666" s="0" t="n">
        <v>19.939</v>
      </c>
      <c r="D1666" s="0" t="n">
        <v>13.033</v>
      </c>
      <c r="E1666" s="0" t="n">
        <v>26.761</v>
      </c>
      <c r="F1666" s="0" t="n">
        <v>0.027</v>
      </c>
      <c r="G1666" s="12" t="n">
        <f aca="false">(A1666+(C1666*D1666*COS(RADIANS(E1666))^2-F1666*C1666*D1666)*TAN(RADIANS(B1666)))/(C1666*D1666*SIN(RADIANS(E1666))*COS(RADIANS(E1666)))</f>
        <v>1.68184096518912</v>
      </c>
    </row>
    <row r="1667" customFormat="false" ht="15" hidden="false" customHeight="false" outlineLevel="0" collapsed="false">
      <c r="A1667" s="0" t="n">
        <v>9.116</v>
      </c>
      <c r="B1667" s="0" t="n">
        <v>27.172</v>
      </c>
      <c r="C1667" s="0" t="n">
        <v>18.114</v>
      </c>
      <c r="D1667" s="0" t="n">
        <v>16.531</v>
      </c>
      <c r="E1667" s="0" t="n">
        <v>28.92</v>
      </c>
      <c r="F1667" s="0" t="n">
        <v>0.1558</v>
      </c>
      <c r="G1667" s="12" t="n">
        <f aca="false">(A1667+(C1667*D1667*COS(RADIANS(E1667))^2-F1667*C1667*D1667)*TAN(RADIANS(B1667)))/(C1667*D1667*SIN(RADIANS(E1667))*COS(RADIANS(E1667)))</f>
        <v>0.81208136236064</v>
      </c>
    </row>
    <row r="1668" customFormat="false" ht="15" hidden="false" customHeight="false" outlineLevel="0" collapsed="false">
      <c r="A1668" s="0" t="n">
        <v>17.012</v>
      </c>
      <c r="B1668" s="0" t="n">
        <v>33.082</v>
      </c>
      <c r="C1668" s="0" t="n">
        <v>19.936</v>
      </c>
      <c r="D1668" s="0" t="n">
        <v>16.694</v>
      </c>
      <c r="E1668" s="0" t="n">
        <v>26.584</v>
      </c>
      <c r="F1668" s="0" t="n">
        <v>0.1225</v>
      </c>
      <c r="G1668" s="12" t="n">
        <f aca="false">(A1668+(C1668*D1668*COS(RADIANS(E1668))^2-F1668*C1668*D1668)*TAN(RADIANS(B1668)))/(C1668*D1668*SIN(RADIANS(E1668))*COS(RADIANS(E1668)))</f>
        <v>1.23013270814787</v>
      </c>
    </row>
    <row r="1669" customFormat="false" ht="15" hidden="false" customHeight="false" outlineLevel="0" collapsed="false">
      <c r="A1669" s="0" t="n">
        <v>5.344</v>
      </c>
      <c r="B1669" s="0" t="n">
        <v>27.355</v>
      </c>
      <c r="C1669" s="0" t="n">
        <v>18.372</v>
      </c>
      <c r="D1669" s="0" t="n">
        <v>14.341</v>
      </c>
      <c r="E1669" s="0" t="n">
        <v>29.56</v>
      </c>
      <c r="F1669" s="0" t="n">
        <v>0.3644</v>
      </c>
      <c r="G1669" s="12" t="n">
        <f aca="false">(A1669+(C1669*D1669*COS(RADIANS(E1669))^2-F1669*C1669*D1669)*TAN(RADIANS(B1669)))/(C1669*D1669*SIN(RADIANS(E1669))*COS(RADIANS(E1669)))</f>
        <v>0.520132301380911</v>
      </c>
    </row>
    <row r="1670" customFormat="false" ht="15" hidden="false" customHeight="false" outlineLevel="0" collapsed="false">
      <c r="A1670" s="0" t="n">
        <v>17.594</v>
      </c>
      <c r="B1670" s="0" t="n">
        <v>37.271</v>
      </c>
      <c r="C1670" s="0" t="n">
        <v>20.535</v>
      </c>
      <c r="D1670" s="0" t="n">
        <v>14.605</v>
      </c>
      <c r="E1670" s="0" t="n">
        <v>29.685</v>
      </c>
      <c r="F1670" s="0" t="n">
        <v>0.1874</v>
      </c>
      <c r="G1670" s="12" t="n">
        <f aca="false">(A1670+(C1670*D1670*COS(RADIANS(E1670))^2-F1670*C1670*D1670)*TAN(RADIANS(B1670)))/(C1670*D1670*SIN(RADIANS(E1670))*COS(RADIANS(E1670)))</f>
        <v>1.13986238375138</v>
      </c>
    </row>
    <row r="1671" customFormat="false" ht="15" hidden="false" customHeight="false" outlineLevel="0" collapsed="false">
      <c r="A1671" s="0" t="n">
        <v>9.032</v>
      </c>
      <c r="B1671" s="0" t="n">
        <v>35.002</v>
      </c>
      <c r="C1671" s="0" t="n">
        <v>22.385</v>
      </c>
      <c r="D1671" s="0" t="n">
        <v>17.114</v>
      </c>
      <c r="E1671" s="0" t="n">
        <v>27.791</v>
      </c>
      <c r="F1671" s="0" t="n">
        <v>0.0517</v>
      </c>
      <c r="G1671" s="12" t="n">
        <f aca="false">(A1671+(C1671*D1671*COS(RADIANS(E1671))^2-F1671*C1671*D1671)*TAN(RADIANS(B1671)))/(C1671*D1671*SIN(RADIANS(E1671))*COS(RADIANS(E1671)))</f>
        <v>1.29805266231499</v>
      </c>
    </row>
    <row r="1672" customFormat="false" ht="15" hidden="false" customHeight="false" outlineLevel="0" collapsed="false">
      <c r="A1672" s="0" t="n">
        <v>15.214</v>
      </c>
      <c r="B1672" s="0" t="n">
        <v>38.078</v>
      </c>
      <c r="C1672" s="0" t="n">
        <v>22.092</v>
      </c>
      <c r="D1672" s="0" t="n">
        <v>14.234</v>
      </c>
      <c r="E1672" s="0" t="n">
        <v>30.182</v>
      </c>
      <c r="F1672" s="0" t="n">
        <v>0.3352</v>
      </c>
      <c r="G1672" s="12" t="n">
        <f aca="false">(A1672+(C1672*D1672*COS(RADIANS(E1672))^2-F1672*C1672*D1672)*TAN(RADIANS(B1672)))/(C1672*D1672*SIN(RADIANS(E1672))*COS(RADIANS(E1672)))</f>
        <v>0.854157350889436</v>
      </c>
    </row>
    <row r="1673" customFormat="false" ht="15" hidden="false" customHeight="false" outlineLevel="0" collapsed="false">
      <c r="A1673" s="0" t="n">
        <v>14.523</v>
      </c>
      <c r="B1673" s="0" t="n">
        <v>34.284</v>
      </c>
      <c r="C1673" s="0" t="n">
        <v>19.797</v>
      </c>
      <c r="D1673" s="0" t="n">
        <v>16.215</v>
      </c>
      <c r="E1673" s="0" t="n">
        <v>29.941</v>
      </c>
      <c r="F1673" s="0" t="n">
        <v>0.0684</v>
      </c>
      <c r="G1673" s="12" t="n">
        <f aca="false">(A1673+(C1673*D1673*COS(RADIANS(E1673))^2-F1673*C1673*D1673)*TAN(RADIANS(B1673)))/(C1673*D1673*SIN(RADIANS(E1673))*COS(RADIANS(E1673)))</f>
        <v>1.18041665907932</v>
      </c>
    </row>
    <row r="1674" customFormat="false" ht="15" hidden="false" customHeight="false" outlineLevel="0" collapsed="false">
      <c r="A1674" s="0" t="n">
        <v>19.678</v>
      </c>
      <c r="B1674" s="0" t="n">
        <v>34.312</v>
      </c>
      <c r="C1674" s="0" t="n">
        <v>21.12</v>
      </c>
      <c r="D1674" s="0" t="n">
        <v>6.975</v>
      </c>
      <c r="E1674" s="0" t="n">
        <v>27.047</v>
      </c>
      <c r="F1674" s="0" t="n">
        <v>0.1898</v>
      </c>
      <c r="G1674" s="12" t="n">
        <f aca="false">(A1674+(C1674*D1674*COS(RADIANS(E1674))^2-F1674*C1674*D1674)*TAN(RADIANS(B1674)))/(C1674*D1674*SIN(RADIANS(E1674))*COS(RADIANS(E1674)))</f>
        <v>1.34669143841468</v>
      </c>
    </row>
    <row r="1675" customFormat="false" ht="15" hidden="false" customHeight="false" outlineLevel="0" collapsed="false">
      <c r="A1675" s="0" t="n">
        <v>14.285</v>
      </c>
      <c r="B1675" s="0" t="n">
        <v>36.072</v>
      </c>
      <c r="C1675" s="0" t="n">
        <v>20.048</v>
      </c>
      <c r="D1675" s="0" t="n">
        <v>16.612</v>
      </c>
      <c r="E1675" s="0" t="n">
        <v>27.736</v>
      </c>
      <c r="F1675" s="0" t="n">
        <v>0.2344</v>
      </c>
      <c r="G1675" s="12" t="n">
        <f aca="false">(A1675+(C1675*D1675*COS(RADIANS(E1675))^2-F1675*C1675*D1675)*TAN(RADIANS(B1675)))/(C1675*D1675*SIN(RADIANS(E1675))*COS(RADIANS(E1675)))</f>
        <v>1.07501022321723</v>
      </c>
    </row>
    <row r="1676" customFormat="false" ht="15" hidden="false" customHeight="false" outlineLevel="0" collapsed="false">
      <c r="A1676" s="0" t="n">
        <v>12.223</v>
      </c>
      <c r="B1676" s="0" t="n">
        <v>35.24</v>
      </c>
      <c r="C1676" s="0" t="n">
        <v>21.175</v>
      </c>
      <c r="D1676" s="0" t="n">
        <v>10.343</v>
      </c>
      <c r="E1676" s="0" t="n">
        <v>30.893</v>
      </c>
      <c r="F1676" s="0" t="n">
        <v>0.0572</v>
      </c>
      <c r="G1676" s="12" t="n">
        <f aca="false">(A1676+(C1676*D1676*COS(RADIANS(E1676))^2-F1676*C1676*D1676)*TAN(RADIANS(B1676)))/(C1676*D1676*SIN(RADIANS(E1676))*COS(RADIANS(E1676)))</f>
        <v>1.21570172749307</v>
      </c>
    </row>
    <row r="1677" customFormat="false" ht="15" hidden="false" customHeight="false" outlineLevel="0" collapsed="false">
      <c r="A1677" s="0" t="n">
        <v>12.974</v>
      </c>
      <c r="B1677" s="0" t="n">
        <v>33.418</v>
      </c>
      <c r="C1677" s="0" t="n">
        <v>18.943</v>
      </c>
      <c r="D1677" s="0" t="n">
        <v>13.867</v>
      </c>
      <c r="E1677" s="0" t="n">
        <v>25.736</v>
      </c>
      <c r="F1677" s="0" t="n">
        <v>0.0252</v>
      </c>
      <c r="G1677" s="12" t="n">
        <f aca="false">(A1677+(C1677*D1677*COS(RADIANS(E1677))^2-F1677*C1677*D1677)*TAN(RADIANS(B1677)))/(C1677*D1677*SIN(RADIANS(E1677))*COS(RADIANS(E1677)))</f>
        <v>1.45258202764051</v>
      </c>
    </row>
    <row r="1678" customFormat="false" ht="15" hidden="false" customHeight="false" outlineLevel="0" collapsed="false">
      <c r="A1678" s="0" t="n">
        <v>20.092</v>
      </c>
      <c r="B1678" s="0" t="n">
        <v>37.62</v>
      </c>
      <c r="C1678" s="0" t="n">
        <v>19.869</v>
      </c>
      <c r="D1678" s="0" t="n">
        <v>11.927</v>
      </c>
      <c r="E1678" s="0" t="n">
        <v>27.414</v>
      </c>
      <c r="F1678" s="0" t="n">
        <v>0.1351</v>
      </c>
      <c r="G1678" s="12" t="n">
        <f aca="false">(A1678+(C1678*D1678*COS(RADIANS(E1678))^2-F1678*C1678*D1678)*TAN(RADIANS(B1678)))/(C1678*D1678*SIN(RADIANS(E1678))*COS(RADIANS(E1678)))</f>
        <v>1.43856587401331</v>
      </c>
    </row>
    <row r="1679" customFormat="false" ht="15" hidden="false" customHeight="false" outlineLevel="0" collapsed="false">
      <c r="A1679" s="0" t="n">
        <v>17.145</v>
      </c>
      <c r="B1679" s="0" t="n">
        <v>38.322</v>
      </c>
      <c r="C1679" s="0" t="n">
        <v>20.03</v>
      </c>
      <c r="D1679" s="0" t="n">
        <v>18.515</v>
      </c>
      <c r="E1679" s="0" t="n">
        <v>28.04</v>
      </c>
      <c r="F1679" s="0" t="n">
        <v>0.1829</v>
      </c>
      <c r="G1679" s="12" t="n">
        <f aca="false">(A1679+(C1679*D1679*COS(RADIANS(E1679))^2-F1679*C1679*D1679)*TAN(RADIANS(B1679)))/(C1679*D1679*SIN(RADIANS(E1679))*COS(RADIANS(E1679)))</f>
        <v>1.24699189101606</v>
      </c>
    </row>
    <row r="1680" customFormat="false" ht="15" hidden="false" customHeight="false" outlineLevel="0" collapsed="false">
      <c r="A1680" s="0" t="n">
        <v>13.457</v>
      </c>
      <c r="B1680" s="0" t="n">
        <v>35.964</v>
      </c>
      <c r="C1680" s="0" t="n">
        <v>20.69</v>
      </c>
      <c r="D1680" s="0" t="n">
        <v>17.81</v>
      </c>
      <c r="E1680" s="0" t="n">
        <v>28.53</v>
      </c>
      <c r="F1680" s="0" t="n">
        <v>0.1995</v>
      </c>
      <c r="G1680" s="12" t="n">
        <f aca="false">(A1680+(C1680*D1680*COS(RADIANS(E1680))^2-F1680*C1680*D1680)*TAN(RADIANS(B1680)))/(C1680*D1680*SIN(RADIANS(E1680))*COS(RADIANS(E1680)))</f>
        <v>1.07675643544894</v>
      </c>
    </row>
    <row r="1681" customFormat="false" ht="15" hidden="false" customHeight="false" outlineLevel="0" collapsed="false">
      <c r="A1681" s="0" t="n">
        <v>14.054</v>
      </c>
      <c r="B1681" s="0" t="n">
        <v>39.146</v>
      </c>
      <c r="C1681" s="0" t="n">
        <v>19.841</v>
      </c>
      <c r="D1681" s="0" t="n">
        <v>9.853</v>
      </c>
      <c r="E1681" s="0" t="n">
        <v>24.973</v>
      </c>
      <c r="F1681" s="0" t="n">
        <v>0.0611</v>
      </c>
      <c r="G1681" s="12" t="n">
        <f aca="false">(A1681+(C1681*D1681*COS(RADIANS(E1681))^2-F1681*C1681*D1681)*TAN(RADIANS(B1681)))/(C1681*D1681*SIN(RADIANS(E1681))*COS(RADIANS(E1681)))</f>
        <v>1.80568927782859</v>
      </c>
    </row>
    <row r="1682" customFormat="false" ht="15" hidden="false" customHeight="false" outlineLevel="0" collapsed="false">
      <c r="A1682" s="0" t="n">
        <v>8.731</v>
      </c>
      <c r="B1682" s="0" t="n">
        <v>39.421</v>
      </c>
      <c r="C1682" s="0" t="n">
        <v>19.797</v>
      </c>
      <c r="D1682" s="0" t="n">
        <v>14.733</v>
      </c>
      <c r="E1682" s="0" t="n">
        <v>26.104</v>
      </c>
      <c r="F1682" s="0" t="n">
        <v>0.2279</v>
      </c>
      <c r="G1682" s="12" t="n">
        <f aca="false">(A1682+(C1682*D1682*COS(RADIANS(E1682))^2-F1682*C1682*D1682)*TAN(RADIANS(B1682)))/(C1682*D1682*SIN(RADIANS(E1682))*COS(RADIANS(E1682)))</f>
        <v>1.27929067768405</v>
      </c>
    </row>
    <row r="1683" customFormat="false" ht="15" hidden="false" customHeight="false" outlineLevel="0" collapsed="false">
      <c r="A1683" s="0" t="n">
        <v>16.554</v>
      </c>
      <c r="B1683" s="0" t="n">
        <v>33.207</v>
      </c>
      <c r="C1683" s="0" t="n">
        <v>19.528</v>
      </c>
      <c r="D1683" s="0" t="n">
        <v>23.289</v>
      </c>
      <c r="E1683" s="0" t="n">
        <v>27.288</v>
      </c>
      <c r="F1683" s="0" t="n">
        <v>0.2347</v>
      </c>
      <c r="G1683" s="12" t="n">
        <f aca="false">(A1683+(C1683*D1683*COS(RADIANS(E1683))^2-F1683*C1683*D1683)*TAN(RADIANS(B1683)))/(C1683*D1683*SIN(RADIANS(E1683))*COS(RADIANS(E1683)))</f>
        <v>0.981122207608642</v>
      </c>
    </row>
    <row r="1684" customFormat="false" ht="15" hidden="false" customHeight="false" outlineLevel="0" collapsed="false">
      <c r="A1684" s="0" t="n">
        <v>7.961</v>
      </c>
      <c r="B1684" s="0" t="n">
        <v>35.041</v>
      </c>
      <c r="C1684" s="0" t="n">
        <v>18.693</v>
      </c>
      <c r="D1684" s="0" t="n">
        <v>10.64</v>
      </c>
      <c r="E1684" s="0" t="n">
        <v>30.182</v>
      </c>
      <c r="F1684" s="0" t="n">
        <v>0.2677</v>
      </c>
      <c r="G1684" s="12" t="n">
        <f aca="false">(A1684+(C1684*D1684*COS(RADIANS(E1684))^2-F1684*C1684*D1684)*TAN(RADIANS(B1684)))/(C1684*D1684*SIN(RADIANS(E1684))*COS(RADIANS(E1684)))</f>
        <v>0.865911655365196</v>
      </c>
    </row>
    <row r="1685" customFormat="false" ht="15" hidden="false" customHeight="false" outlineLevel="0" collapsed="false">
      <c r="A1685" s="0" t="n">
        <v>18.007</v>
      </c>
      <c r="B1685" s="0" t="n">
        <v>36.113</v>
      </c>
      <c r="C1685" s="0" t="n">
        <v>20.486</v>
      </c>
      <c r="D1685" s="0" t="n">
        <v>17.06</v>
      </c>
      <c r="E1685" s="0" t="n">
        <v>28.391</v>
      </c>
      <c r="F1685" s="0" t="n">
        <v>0.1689</v>
      </c>
      <c r="G1685" s="12" t="n">
        <f aca="false">(A1685+(C1685*D1685*COS(RADIANS(E1685))^2-F1685*C1685*D1685)*TAN(RADIANS(B1685)))/(C1685*D1685*SIN(RADIANS(E1685))*COS(RADIANS(E1685)))</f>
        <v>1.17839216268336</v>
      </c>
    </row>
    <row r="1686" customFormat="false" ht="15" hidden="false" customHeight="false" outlineLevel="0" collapsed="false">
      <c r="A1686" s="0" t="n">
        <v>15.514</v>
      </c>
      <c r="B1686" s="0" t="n">
        <v>30.192</v>
      </c>
      <c r="C1686" s="0" t="n">
        <v>19.626</v>
      </c>
      <c r="D1686" s="0" t="n">
        <v>14.983</v>
      </c>
      <c r="E1686" s="0" t="n">
        <v>27.68</v>
      </c>
      <c r="F1686" s="0" t="n">
        <v>0</v>
      </c>
      <c r="G1686" s="12" t="n">
        <f aca="false">(A1686+(C1686*D1686*COS(RADIANS(E1686))^2-F1686*C1686*D1686)*TAN(RADIANS(B1686)))/(C1686*D1686*SIN(RADIANS(E1686))*COS(RADIANS(E1686)))</f>
        <v>1.23740864627095</v>
      </c>
    </row>
    <row r="1687" customFormat="false" ht="15" hidden="false" customHeight="false" outlineLevel="0" collapsed="false">
      <c r="A1687" s="0" t="n">
        <v>24.548</v>
      </c>
      <c r="B1687" s="0" t="n">
        <v>35.297</v>
      </c>
      <c r="C1687" s="0" t="n">
        <v>20.083</v>
      </c>
      <c r="D1687" s="0" t="n">
        <v>13.227</v>
      </c>
      <c r="E1687" s="0" t="n">
        <v>29.597</v>
      </c>
      <c r="F1687" s="0" t="n">
        <v>0.1795</v>
      </c>
      <c r="G1687" s="12" t="n">
        <f aca="false">(A1687+(C1687*D1687*COS(RADIANS(E1687))^2-F1687*C1687*D1687)*TAN(RADIANS(B1687)))/(C1687*D1687*SIN(RADIANS(E1687))*COS(RADIANS(E1687)))</f>
        <v>1.1656638184919</v>
      </c>
    </row>
    <row r="1688" customFormat="false" ht="15" hidden="false" customHeight="false" outlineLevel="0" collapsed="false">
      <c r="A1688" s="0" t="n">
        <v>10.599</v>
      </c>
      <c r="B1688" s="0" t="n">
        <v>34.589</v>
      </c>
      <c r="C1688" s="0" t="n">
        <v>17.383</v>
      </c>
      <c r="D1688" s="0" t="n">
        <v>14.371</v>
      </c>
      <c r="E1688" s="0" t="n">
        <v>27.797</v>
      </c>
      <c r="F1688" s="0" t="n">
        <v>0.236</v>
      </c>
      <c r="G1688" s="12" t="n">
        <f aca="false">(A1688+(C1688*D1688*COS(RADIANS(E1688))^2-F1688*C1688*D1688)*TAN(RADIANS(B1688)))/(C1688*D1688*SIN(RADIANS(E1688))*COS(RADIANS(E1688)))</f>
        <v>1.01641000775564</v>
      </c>
    </row>
    <row r="1689" customFormat="false" ht="15" hidden="false" customHeight="false" outlineLevel="0" collapsed="false">
      <c r="A1689" s="0" t="n">
        <v>14.589</v>
      </c>
      <c r="B1689" s="0" t="n">
        <v>32.754</v>
      </c>
      <c r="C1689" s="0" t="n">
        <v>19.899</v>
      </c>
      <c r="D1689" s="0" t="n">
        <v>13.988</v>
      </c>
      <c r="E1689" s="0" t="n">
        <v>26.132</v>
      </c>
      <c r="F1689" s="0" t="n">
        <v>0.0948</v>
      </c>
      <c r="G1689" s="12" t="n">
        <f aca="false">(A1689+(C1689*D1689*COS(RADIANS(E1689))^2-F1689*C1689*D1689)*TAN(RADIANS(B1689)))/(C1689*D1689*SIN(RADIANS(E1689))*COS(RADIANS(E1689)))</f>
        <v>1.28964305189162</v>
      </c>
    </row>
    <row r="1690" customFormat="false" ht="15" hidden="false" customHeight="false" outlineLevel="0" collapsed="false">
      <c r="A1690" s="0" t="n">
        <v>22.193</v>
      </c>
      <c r="B1690" s="0" t="n">
        <v>35.72</v>
      </c>
      <c r="C1690" s="0" t="n">
        <v>19.577</v>
      </c>
      <c r="D1690" s="0" t="n">
        <v>19.23</v>
      </c>
      <c r="E1690" s="0" t="n">
        <v>29.832</v>
      </c>
      <c r="F1690" s="0" t="n">
        <v>0.0583</v>
      </c>
      <c r="G1690" s="12" t="n">
        <f aca="false">(A1690+(C1690*D1690*COS(RADIANS(E1690))^2-F1690*C1690*D1690)*TAN(RADIANS(B1690)))/(C1690*D1690*SIN(RADIANS(E1690))*COS(RADIANS(E1690)))</f>
        <v>1.29345595513331</v>
      </c>
    </row>
    <row r="1691" customFormat="false" ht="15" hidden="false" customHeight="false" outlineLevel="0" collapsed="false">
      <c r="A1691" s="0" t="n">
        <v>19.766</v>
      </c>
      <c r="B1691" s="0" t="n">
        <v>32.149</v>
      </c>
      <c r="C1691" s="0" t="n">
        <v>20.765</v>
      </c>
      <c r="D1691" s="0" t="n">
        <v>15.821</v>
      </c>
      <c r="E1691" s="0" t="n">
        <v>25.162</v>
      </c>
      <c r="F1691" s="0" t="n">
        <v>0.1427</v>
      </c>
      <c r="G1691" s="12" t="n">
        <f aca="false">(A1691+(C1691*D1691*COS(RADIANS(E1691))^2-F1691*C1691*D1691)*TAN(RADIANS(B1691)))/(C1691*D1691*SIN(RADIANS(E1691))*COS(RADIANS(E1691)))</f>
        <v>1.26120724741686</v>
      </c>
    </row>
    <row r="1692" customFormat="false" ht="15" hidden="false" customHeight="false" outlineLevel="0" collapsed="false">
      <c r="A1692" s="0" t="n">
        <v>12.215</v>
      </c>
      <c r="B1692" s="0" t="n">
        <v>30.317</v>
      </c>
      <c r="C1692" s="0" t="n">
        <v>19.421</v>
      </c>
      <c r="D1692" s="0" t="n">
        <v>16.323</v>
      </c>
      <c r="E1692" s="0" t="n">
        <v>24.231</v>
      </c>
      <c r="F1692" s="0" t="n">
        <v>0.1188</v>
      </c>
      <c r="G1692" s="12" t="n">
        <f aca="false">(A1692+(C1692*D1692*COS(RADIANS(E1692))^2-F1692*C1692*D1692)*TAN(RADIANS(B1692)))/(C1692*D1692*SIN(RADIANS(E1692))*COS(RADIANS(E1692)))</f>
        <v>1.21658868770299</v>
      </c>
    </row>
    <row r="1693" customFormat="false" ht="15" hidden="false" customHeight="false" outlineLevel="0" collapsed="false">
      <c r="A1693" s="0" t="n">
        <v>15.896</v>
      </c>
      <c r="B1693" s="0" t="n">
        <v>27.809</v>
      </c>
      <c r="C1693" s="0" t="n">
        <v>19.575</v>
      </c>
      <c r="D1693" s="0" t="n">
        <v>17.085</v>
      </c>
      <c r="E1693" s="0" t="n">
        <v>26.268</v>
      </c>
      <c r="F1693" s="0" t="n">
        <v>0.1068</v>
      </c>
      <c r="G1693" s="12" t="n">
        <f aca="false">(A1693+(C1693*D1693*COS(RADIANS(E1693))^2-F1693*C1693*D1693)*TAN(RADIANS(B1693)))/(C1693*D1693*SIN(RADIANS(E1693))*COS(RADIANS(E1693)))</f>
        <v>1.04652345744523</v>
      </c>
    </row>
    <row r="1694" customFormat="false" ht="15" hidden="false" customHeight="false" outlineLevel="0" collapsed="false">
      <c r="A1694" s="0" t="n">
        <v>15.008</v>
      </c>
      <c r="B1694" s="0" t="n">
        <v>29.81</v>
      </c>
      <c r="C1694" s="0" t="n">
        <v>18.886</v>
      </c>
      <c r="D1694" s="0" t="n">
        <v>12.719</v>
      </c>
      <c r="E1694" s="0" t="n">
        <v>24.452</v>
      </c>
      <c r="F1694" s="0" t="n">
        <v>0.0989</v>
      </c>
      <c r="G1694" s="12" t="n">
        <f aca="false">(A1694+(C1694*D1694*COS(RADIANS(E1694))^2-F1694*C1694*D1694)*TAN(RADIANS(B1694)))/(C1694*D1694*SIN(RADIANS(E1694))*COS(RADIANS(E1694)))</f>
        <v>1.27542431569068</v>
      </c>
    </row>
    <row r="1695" customFormat="false" ht="15" hidden="false" customHeight="false" outlineLevel="0" collapsed="false">
      <c r="A1695" s="0" t="n">
        <v>16.128</v>
      </c>
      <c r="B1695" s="0" t="n">
        <v>31.33</v>
      </c>
      <c r="C1695" s="0" t="n">
        <v>19.589</v>
      </c>
      <c r="D1695" s="0" t="n">
        <v>13.612</v>
      </c>
      <c r="E1695" s="0" t="n">
        <v>28.35</v>
      </c>
      <c r="F1695" s="0" t="n">
        <v>0.2564</v>
      </c>
      <c r="G1695" s="12" t="n">
        <f aca="false">(A1695+(C1695*D1695*COS(RADIANS(E1695))^2-F1695*C1695*D1695)*TAN(RADIANS(B1695)))/(C1695*D1695*SIN(RADIANS(E1695))*COS(RADIANS(E1695)))</f>
        <v>0.899425363703968</v>
      </c>
    </row>
    <row r="1696" customFormat="false" ht="15" hidden="false" customHeight="false" outlineLevel="0" collapsed="false">
      <c r="A1696" s="0" t="n">
        <v>12.205</v>
      </c>
      <c r="B1696" s="0" t="n">
        <v>35.049</v>
      </c>
      <c r="C1696" s="0" t="n">
        <v>19.479</v>
      </c>
      <c r="D1696" s="0" t="n">
        <v>15.788</v>
      </c>
      <c r="E1696" s="0" t="n">
        <v>28.219</v>
      </c>
      <c r="F1696" s="0" t="n">
        <v>0.063</v>
      </c>
      <c r="G1696" s="12" t="n">
        <f aca="false">(A1696+(C1696*D1696*COS(RADIANS(E1696))^2-F1696*C1696*D1696)*TAN(RADIANS(B1696)))/(C1696*D1696*SIN(RADIANS(E1696))*COS(RADIANS(E1696)))</f>
        <v>1.29640192200996</v>
      </c>
    </row>
    <row r="1697" customFormat="false" ht="15" hidden="false" customHeight="false" outlineLevel="0" collapsed="false">
      <c r="A1697" s="0" t="n">
        <v>14.643</v>
      </c>
      <c r="B1697" s="0" t="n">
        <v>35.941</v>
      </c>
      <c r="C1697" s="0" t="n">
        <v>20.232</v>
      </c>
      <c r="D1697" s="0" t="n">
        <v>16.598</v>
      </c>
      <c r="E1697" s="0" t="n">
        <v>28.504</v>
      </c>
      <c r="F1697" s="0" t="n">
        <v>0.128</v>
      </c>
      <c r="G1697" s="12" t="n">
        <f aca="false">(A1697+(C1697*D1697*COS(RADIANS(E1697))^2-F1697*C1697*D1697)*TAN(RADIANS(B1697)))/(C1697*D1697*SIN(RADIANS(E1697))*COS(RADIANS(E1697)))</f>
        <v>1.21770995268585</v>
      </c>
    </row>
    <row r="1698" customFormat="false" ht="15" hidden="false" customHeight="false" outlineLevel="0" collapsed="false">
      <c r="A1698" s="0" t="n">
        <v>8.608</v>
      </c>
      <c r="B1698" s="0" t="n">
        <v>33.146</v>
      </c>
      <c r="C1698" s="0" t="n">
        <v>19.474</v>
      </c>
      <c r="D1698" s="0" t="n">
        <v>11.427</v>
      </c>
      <c r="E1698" s="0" t="n">
        <v>24.908</v>
      </c>
      <c r="F1698" s="0" t="n">
        <v>0.0531</v>
      </c>
      <c r="G1698" s="12" t="n">
        <f aca="false">(A1698+(C1698*D1698*COS(RADIANS(E1698))^2-F1698*C1698*D1698)*TAN(RADIANS(B1698)))/(C1698*D1698*SIN(RADIANS(E1698))*COS(RADIANS(E1698)))</f>
        <v>1.41682036626782</v>
      </c>
    </row>
    <row r="1699" customFormat="false" ht="15" hidden="false" customHeight="false" outlineLevel="0" collapsed="false">
      <c r="A1699" s="0" t="n">
        <v>15.54</v>
      </c>
      <c r="B1699" s="0" t="n">
        <v>36.773</v>
      </c>
      <c r="C1699" s="0" t="n">
        <v>18.188</v>
      </c>
      <c r="D1699" s="0" t="n">
        <v>19.794</v>
      </c>
      <c r="E1699" s="0" t="n">
        <v>27.42</v>
      </c>
      <c r="F1699" s="0" t="n">
        <v>0.1171</v>
      </c>
      <c r="G1699" s="12" t="n">
        <f aca="false">(A1699+(C1699*D1699*COS(RADIANS(E1699))^2-F1699*C1699*D1699)*TAN(RADIANS(B1699)))/(C1699*D1699*SIN(RADIANS(E1699))*COS(RADIANS(E1699)))</f>
        <v>1.33207686225024</v>
      </c>
    </row>
    <row r="1700" customFormat="false" ht="15" hidden="false" customHeight="false" outlineLevel="0" collapsed="false">
      <c r="A1700" s="0" t="n">
        <v>16.8</v>
      </c>
      <c r="B1700" s="0" t="n">
        <v>35.898</v>
      </c>
      <c r="C1700" s="0" t="n">
        <v>19.266</v>
      </c>
      <c r="D1700" s="0" t="n">
        <v>15.53</v>
      </c>
      <c r="E1700" s="0" t="n">
        <v>26.558</v>
      </c>
      <c r="F1700" s="0" t="n">
        <v>0.2551</v>
      </c>
      <c r="G1700" s="12" t="n">
        <f aca="false">(A1700+(C1700*D1700*COS(RADIANS(E1700))^2-F1700*C1700*D1700)*TAN(RADIANS(B1700)))/(C1700*D1700*SIN(RADIANS(E1700))*COS(RADIANS(E1700)))</f>
        <v>1.12679212961856</v>
      </c>
    </row>
    <row r="1701" customFormat="false" ht="15" hidden="false" customHeight="false" outlineLevel="0" collapsed="false">
      <c r="A1701" s="0" t="n">
        <v>14.09</v>
      </c>
      <c r="B1701" s="0" t="n">
        <v>32.248</v>
      </c>
      <c r="C1701" s="0" t="n">
        <v>20.236</v>
      </c>
      <c r="D1701" s="0" t="n">
        <v>11.899</v>
      </c>
      <c r="E1701" s="0" t="n">
        <v>29.119</v>
      </c>
      <c r="F1701" s="0" t="n">
        <v>0.1796</v>
      </c>
      <c r="G1701" s="12" t="n">
        <f aca="false">(A1701+(C1701*D1701*COS(RADIANS(E1701))^2-F1701*C1701*D1701)*TAN(RADIANS(B1701)))/(C1701*D1701*SIN(RADIANS(E1701))*COS(RADIANS(E1701)))</f>
        <v>1.00373621423691</v>
      </c>
    </row>
    <row r="1702" customFormat="false" ht="15" hidden="false" customHeight="false" outlineLevel="0" collapsed="false">
      <c r="A1702" s="0" t="n">
        <v>8.54</v>
      </c>
      <c r="B1702" s="0" t="n">
        <v>32.064</v>
      </c>
      <c r="C1702" s="0" t="n">
        <v>18.976</v>
      </c>
      <c r="D1702" s="0" t="n">
        <v>11.088</v>
      </c>
      <c r="E1702" s="0" t="n">
        <v>29.807</v>
      </c>
      <c r="F1702" s="0" t="n">
        <v>0.2041</v>
      </c>
      <c r="G1702" s="12" t="n">
        <f aca="false">(A1702+(C1702*D1702*COS(RADIANS(E1702))^2-F1702*C1702*D1702)*TAN(RADIANS(B1702)))/(C1702*D1702*SIN(RADIANS(E1702))*COS(RADIANS(E1702)))</f>
        <v>0.891166415894717</v>
      </c>
    </row>
    <row r="1703" customFormat="false" ht="15" hidden="false" customHeight="false" outlineLevel="0" collapsed="false">
      <c r="A1703" s="0" t="n">
        <v>18.954</v>
      </c>
      <c r="B1703" s="0" t="n">
        <v>38.631</v>
      </c>
      <c r="C1703" s="0" t="n">
        <v>21.758</v>
      </c>
      <c r="D1703" s="0" t="n">
        <v>17.373</v>
      </c>
      <c r="E1703" s="0" t="n">
        <v>25.768</v>
      </c>
      <c r="F1703" s="0" t="n">
        <v>0.0053</v>
      </c>
      <c r="G1703" s="12" t="n">
        <f aca="false">(A1703+(C1703*D1703*COS(RADIANS(E1703))^2-F1703*C1703*D1703)*TAN(RADIANS(B1703)))/(C1703*D1703*SIN(RADIANS(E1703))*COS(RADIANS(E1703)))</f>
        <v>1.77279282143166</v>
      </c>
    </row>
    <row r="1704" customFormat="false" ht="15" hidden="false" customHeight="false" outlineLevel="0" collapsed="false">
      <c r="A1704" s="0" t="n">
        <v>16.458</v>
      </c>
      <c r="B1704" s="0" t="n">
        <v>33.375</v>
      </c>
      <c r="C1704" s="0" t="n">
        <v>22.212</v>
      </c>
      <c r="D1704" s="0" t="n">
        <v>14.141</v>
      </c>
      <c r="E1704" s="0" t="n">
        <v>27.88</v>
      </c>
      <c r="F1704" s="0" t="n">
        <v>0.0837</v>
      </c>
      <c r="G1704" s="12" t="n">
        <f aca="false">(A1704+(C1704*D1704*COS(RADIANS(E1704))^2-F1704*C1704*D1704)*TAN(RADIANS(B1704)))/(C1704*D1704*SIN(RADIANS(E1704))*COS(RADIANS(E1704)))</f>
        <v>1.2385886597861</v>
      </c>
    </row>
    <row r="1705" customFormat="false" ht="15" hidden="false" customHeight="false" outlineLevel="0" collapsed="false">
      <c r="A1705" s="0" t="n">
        <v>12.096</v>
      </c>
      <c r="B1705" s="0" t="n">
        <v>40.163</v>
      </c>
      <c r="C1705" s="0" t="n">
        <v>19.415</v>
      </c>
      <c r="D1705" s="0" t="n">
        <v>14.34</v>
      </c>
      <c r="E1705" s="0" t="n">
        <v>29.879</v>
      </c>
      <c r="F1705" s="0" t="n">
        <v>0.1713</v>
      </c>
      <c r="G1705" s="12" t="n">
        <f aca="false">(A1705+(C1705*D1705*COS(RADIANS(E1705))^2-F1705*C1705*D1705)*TAN(RADIANS(B1705)))/(C1705*D1705*SIN(RADIANS(E1705))*COS(RADIANS(E1705)))</f>
        <v>1.23482755239872</v>
      </c>
    </row>
    <row r="1706" customFormat="false" ht="15" hidden="false" customHeight="false" outlineLevel="0" collapsed="false">
      <c r="A1706" s="0" t="n">
        <v>13.878</v>
      </c>
      <c r="B1706" s="0" t="n">
        <v>31.133</v>
      </c>
      <c r="C1706" s="0" t="n">
        <v>21.084</v>
      </c>
      <c r="D1706" s="0" t="n">
        <v>18.001</v>
      </c>
      <c r="E1706" s="0" t="n">
        <v>29.204</v>
      </c>
      <c r="F1706" s="0" t="n">
        <v>0.0633</v>
      </c>
      <c r="G1706" s="12" t="n">
        <f aca="false">(A1706+(C1706*D1706*COS(RADIANS(E1706))^2-F1706*C1706*D1706)*TAN(RADIANS(B1706)))/(C1706*D1706*SIN(RADIANS(E1706))*COS(RADIANS(E1706)))</f>
        <v>1.07667903319687</v>
      </c>
    </row>
    <row r="1707" customFormat="false" ht="15" hidden="false" customHeight="false" outlineLevel="0" collapsed="false">
      <c r="A1707" s="0" t="n">
        <v>8.997</v>
      </c>
      <c r="B1707" s="0" t="n">
        <v>34.173</v>
      </c>
      <c r="C1707" s="0" t="n">
        <v>19.483</v>
      </c>
      <c r="D1707" s="0" t="n">
        <v>12.953</v>
      </c>
      <c r="E1707" s="0" t="n">
        <v>26.836</v>
      </c>
      <c r="F1707" s="0" t="n">
        <v>0.1411</v>
      </c>
      <c r="G1707" s="12" t="n">
        <f aca="false">(A1707+(C1707*D1707*COS(RADIANS(E1707))^2-F1707*C1707*D1707)*TAN(RADIANS(B1707)))/(C1707*D1707*SIN(RADIANS(E1707))*COS(RADIANS(E1707)))</f>
        <v>1.19261301698808</v>
      </c>
    </row>
    <row r="1708" customFormat="false" ht="15" hidden="false" customHeight="false" outlineLevel="0" collapsed="false">
      <c r="A1708" s="0" t="n">
        <v>10.898</v>
      </c>
      <c r="B1708" s="0" t="n">
        <v>30.364</v>
      </c>
      <c r="C1708" s="0" t="n">
        <v>19.78</v>
      </c>
      <c r="D1708" s="0" t="n">
        <v>14.866</v>
      </c>
      <c r="E1708" s="0" t="n">
        <v>31.761</v>
      </c>
      <c r="F1708" s="0" t="n">
        <v>0.2579</v>
      </c>
      <c r="G1708" s="12" t="n">
        <f aca="false">(A1708+(C1708*D1708*COS(RADIANS(E1708))^2-F1708*C1708*D1708)*TAN(RADIANS(B1708)))/(C1708*D1708*SIN(RADIANS(E1708))*COS(RADIANS(E1708)))</f>
        <v>0.691536131211291</v>
      </c>
    </row>
    <row r="1709" customFormat="false" ht="15" hidden="false" customHeight="false" outlineLevel="0" collapsed="false">
      <c r="A1709" s="0" t="n">
        <v>12.849</v>
      </c>
      <c r="B1709" s="0" t="n">
        <v>28.951</v>
      </c>
      <c r="C1709" s="0" t="n">
        <v>21.896</v>
      </c>
      <c r="D1709" s="0" t="n">
        <v>8.249</v>
      </c>
      <c r="E1709" s="0" t="n">
        <v>28.04</v>
      </c>
      <c r="F1709" s="0" t="n">
        <v>0.0697</v>
      </c>
      <c r="G1709" s="12" t="n">
        <f aca="false">(A1709+(C1709*D1709*COS(RADIANS(E1709))^2-F1709*C1709*D1709)*TAN(RADIANS(B1709)))/(C1709*D1709*SIN(RADIANS(E1709))*COS(RADIANS(E1709)))</f>
        <v>1.11717736238467</v>
      </c>
    </row>
    <row r="1710" customFormat="false" ht="15" hidden="false" customHeight="false" outlineLevel="0" collapsed="false">
      <c r="A1710" s="0" t="n">
        <v>19.914</v>
      </c>
      <c r="B1710" s="0" t="n">
        <v>32.864</v>
      </c>
      <c r="C1710" s="0" t="n">
        <v>20.445</v>
      </c>
      <c r="D1710" s="0" t="n">
        <v>11.243</v>
      </c>
      <c r="E1710" s="0" t="n">
        <v>28.248</v>
      </c>
      <c r="F1710" s="0" t="n">
        <v>0.1909</v>
      </c>
      <c r="G1710" s="12" t="n">
        <f aca="false">(A1710+(C1710*D1710*COS(RADIANS(E1710))^2-F1710*C1710*D1710)*TAN(RADIANS(B1710)))/(C1710*D1710*SIN(RADIANS(E1710))*COS(RADIANS(E1710)))</f>
        <v>1.11442348495538</v>
      </c>
    </row>
    <row r="1711" customFormat="false" ht="15" hidden="false" customHeight="false" outlineLevel="0" collapsed="false">
      <c r="A1711" s="0" t="n">
        <v>12.442</v>
      </c>
      <c r="B1711" s="0" t="n">
        <v>37.069</v>
      </c>
      <c r="C1711" s="0" t="n">
        <v>19.648</v>
      </c>
      <c r="D1711" s="0" t="n">
        <v>16.938</v>
      </c>
      <c r="E1711" s="0" t="n">
        <v>30.288</v>
      </c>
      <c r="F1711" s="0" t="n">
        <v>0.2916</v>
      </c>
      <c r="G1711" s="12" t="n">
        <f aca="false">(A1711+(C1711*D1711*COS(RADIANS(E1711))^2-F1711*C1711*D1711)*TAN(RADIANS(B1711)))/(C1711*D1711*SIN(RADIANS(E1711))*COS(RADIANS(E1711)))</f>
        <v>0.873432775563363</v>
      </c>
    </row>
    <row r="1712" customFormat="false" ht="15" hidden="false" customHeight="false" outlineLevel="0" collapsed="false">
      <c r="A1712" s="0" t="n">
        <v>17.561</v>
      </c>
      <c r="B1712" s="0" t="n">
        <v>32.982</v>
      </c>
      <c r="C1712" s="0" t="n">
        <v>20.562</v>
      </c>
      <c r="D1712" s="0" t="n">
        <v>11.578</v>
      </c>
      <c r="E1712" s="0" t="n">
        <v>31.661</v>
      </c>
      <c r="F1712" s="0" t="n">
        <v>0.0348</v>
      </c>
      <c r="G1712" s="12" t="n">
        <f aca="false">(A1712+(C1712*D1712*COS(RADIANS(E1712))^2-F1712*C1712*D1712)*TAN(RADIANS(B1712)))/(C1712*D1712*SIN(RADIANS(E1712))*COS(RADIANS(E1712)))</f>
        <v>1.16691669301345</v>
      </c>
    </row>
    <row r="1713" customFormat="false" ht="15" hidden="false" customHeight="false" outlineLevel="0" collapsed="false">
      <c r="A1713" s="0" t="n">
        <v>12.847</v>
      </c>
      <c r="B1713" s="0" t="n">
        <v>36.652</v>
      </c>
      <c r="C1713" s="0" t="n">
        <v>19.796</v>
      </c>
      <c r="D1713" s="0" t="n">
        <v>19.76</v>
      </c>
      <c r="E1713" s="0" t="n">
        <v>22.426</v>
      </c>
      <c r="F1713" s="0" t="n">
        <v>0.1419</v>
      </c>
      <c r="G1713" s="12" t="n">
        <f aca="false">(A1713+(C1713*D1713*COS(RADIANS(E1713))^2-F1713*C1713*D1713)*TAN(RADIANS(B1713)))/(C1713*D1713*SIN(RADIANS(E1713))*COS(RADIANS(E1713)))</f>
        <v>1.59665990658784</v>
      </c>
    </row>
    <row r="1714" customFormat="false" ht="15" hidden="false" customHeight="false" outlineLevel="0" collapsed="false">
      <c r="A1714" s="0" t="n">
        <v>15.992</v>
      </c>
      <c r="B1714" s="0" t="n">
        <v>32.254</v>
      </c>
      <c r="C1714" s="0" t="n">
        <v>18.995</v>
      </c>
      <c r="D1714" s="0" t="n">
        <v>12.565</v>
      </c>
      <c r="E1714" s="0" t="n">
        <v>28.151</v>
      </c>
      <c r="F1714" s="0" t="n">
        <v>0.1141</v>
      </c>
      <c r="G1714" s="12" t="n">
        <f aca="false">(A1714+(C1714*D1714*COS(RADIANS(E1714))^2-F1714*C1714*D1714)*TAN(RADIANS(B1714)))/(C1714*D1714*SIN(RADIANS(E1714))*COS(RADIANS(E1714)))</f>
        <v>1.16730828204485</v>
      </c>
    </row>
    <row r="1715" customFormat="false" ht="15" hidden="false" customHeight="false" outlineLevel="0" collapsed="false">
      <c r="A1715" s="0" t="n">
        <v>14.434</v>
      </c>
      <c r="B1715" s="0" t="n">
        <v>38.952</v>
      </c>
      <c r="C1715" s="0" t="n">
        <v>19.897</v>
      </c>
      <c r="D1715" s="0" t="n">
        <v>12.304</v>
      </c>
      <c r="E1715" s="0" t="n">
        <v>29.567</v>
      </c>
      <c r="F1715" s="0" t="n">
        <v>0.1131</v>
      </c>
      <c r="G1715" s="12" t="n">
        <f aca="false">(A1715+(C1715*D1715*COS(RADIANS(E1715))^2-F1715*C1715*D1715)*TAN(RADIANS(B1715)))/(C1715*D1715*SIN(RADIANS(E1715))*COS(RADIANS(E1715)))</f>
        <v>1.34929181346119</v>
      </c>
    </row>
    <row r="1716" customFormat="false" ht="15" hidden="false" customHeight="false" outlineLevel="0" collapsed="false">
      <c r="A1716" s="0" t="n">
        <v>18.492</v>
      </c>
      <c r="B1716" s="0" t="n">
        <v>32.416</v>
      </c>
      <c r="C1716" s="0" t="n">
        <v>19.509</v>
      </c>
      <c r="D1716" s="0" t="n">
        <v>19.413</v>
      </c>
      <c r="E1716" s="0" t="n">
        <v>28.51</v>
      </c>
      <c r="F1716" s="0" t="n">
        <v>0.1325</v>
      </c>
      <c r="G1716" s="12" t="n">
        <f aca="false">(A1716+(C1716*D1716*COS(RADIANS(E1716))^2-F1716*C1716*D1716)*TAN(RADIANS(B1716)))/(C1716*D1716*SIN(RADIANS(E1716))*COS(RADIANS(E1716)))</f>
        <v>1.0848669719887</v>
      </c>
    </row>
    <row r="1717" customFormat="false" ht="15" hidden="false" customHeight="false" outlineLevel="0" collapsed="false">
      <c r="A1717" s="0" t="n">
        <v>12.861</v>
      </c>
      <c r="B1717" s="0" t="n">
        <v>39.311</v>
      </c>
      <c r="C1717" s="0" t="n">
        <v>20.704</v>
      </c>
      <c r="D1717" s="0" t="n">
        <v>13.817</v>
      </c>
      <c r="E1717" s="0" t="n">
        <v>28.357</v>
      </c>
      <c r="F1717" s="0" t="n">
        <v>0.0968</v>
      </c>
      <c r="G1717" s="12" t="n">
        <f aca="false">(A1717+(C1717*D1717*COS(RADIANS(E1717))^2-F1717*C1717*D1717)*TAN(RADIANS(B1717)))/(C1717*D1717*SIN(RADIANS(E1717))*COS(RADIANS(E1717)))</f>
        <v>1.43500959047923</v>
      </c>
    </row>
    <row r="1718" customFormat="false" ht="15" hidden="false" customHeight="false" outlineLevel="0" collapsed="false">
      <c r="A1718" s="0" t="n">
        <v>8.71</v>
      </c>
      <c r="B1718" s="0" t="n">
        <v>35.047</v>
      </c>
      <c r="C1718" s="0" t="n">
        <v>19.769</v>
      </c>
      <c r="D1718" s="0" t="n">
        <v>15.997</v>
      </c>
      <c r="E1718" s="0" t="n">
        <v>28.702</v>
      </c>
      <c r="F1718" s="0" t="n">
        <v>0.1932</v>
      </c>
      <c r="G1718" s="12" t="n">
        <f aca="false">(A1718+(C1718*D1718*COS(RADIANS(E1718))^2-F1718*C1718*D1718)*TAN(RADIANS(B1718)))/(C1718*D1718*SIN(RADIANS(E1718))*COS(RADIANS(E1718)))</f>
        <v>1.02476106519738</v>
      </c>
    </row>
    <row r="1719" customFormat="false" ht="15" hidden="false" customHeight="false" outlineLevel="0" collapsed="false">
      <c r="A1719" s="0" t="n">
        <v>9.472</v>
      </c>
      <c r="B1719" s="0" t="n">
        <v>31.784</v>
      </c>
      <c r="C1719" s="0" t="n">
        <v>20.991</v>
      </c>
      <c r="D1719" s="0" t="n">
        <v>15.925</v>
      </c>
      <c r="E1719" s="0" t="n">
        <v>28.26</v>
      </c>
      <c r="F1719" s="0" t="n">
        <v>0.1318</v>
      </c>
      <c r="G1719" s="12" t="n">
        <f aca="false">(A1719+(C1719*D1719*COS(RADIANS(E1719))^2-F1719*C1719*D1719)*TAN(RADIANS(B1719)))/(C1719*D1719*SIN(RADIANS(E1719))*COS(RADIANS(E1719)))</f>
        <v>1.02483786962744</v>
      </c>
    </row>
    <row r="1720" customFormat="false" ht="15" hidden="false" customHeight="false" outlineLevel="0" collapsed="false">
      <c r="A1720" s="0" t="n">
        <v>12.872</v>
      </c>
      <c r="B1720" s="0" t="n">
        <v>32.311</v>
      </c>
      <c r="C1720" s="0" t="n">
        <v>19.129</v>
      </c>
      <c r="D1720" s="0" t="n">
        <v>14.96</v>
      </c>
      <c r="E1720" s="0" t="n">
        <v>26.838</v>
      </c>
      <c r="F1720" s="0" t="n">
        <v>0.0393</v>
      </c>
      <c r="G1720" s="12" t="n">
        <f aca="false">(A1720+(C1720*D1720*COS(RADIANS(E1720))^2-F1720*C1720*D1720)*TAN(RADIANS(B1720)))/(C1720*D1720*SIN(RADIANS(E1720))*COS(RADIANS(E1720)))</f>
        <v>1.29992125195836</v>
      </c>
    </row>
    <row r="1721" customFormat="false" ht="15" hidden="false" customHeight="false" outlineLevel="0" collapsed="false">
      <c r="A1721" s="0" t="n">
        <v>10.004</v>
      </c>
      <c r="B1721" s="0" t="n">
        <v>36.045</v>
      </c>
      <c r="C1721" s="0" t="n">
        <v>18.53</v>
      </c>
      <c r="D1721" s="0" t="n">
        <v>18.397</v>
      </c>
      <c r="E1721" s="0" t="n">
        <v>30.986</v>
      </c>
      <c r="F1721" s="0" t="n">
        <v>0.1429</v>
      </c>
      <c r="G1721" s="12" t="n">
        <f aca="false">(A1721+(C1721*D1721*COS(RADIANS(E1721))^2-F1721*C1721*D1721)*TAN(RADIANS(B1721)))/(C1721*D1721*SIN(RADIANS(E1721))*COS(RADIANS(E1721)))</f>
        <v>1.04270576938571</v>
      </c>
    </row>
    <row r="1722" customFormat="false" ht="15" hidden="false" customHeight="false" outlineLevel="0" collapsed="false">
      <c r="A1722" s="0" t="n">
        <v>16.641</v>
      </c>
      <c r="B1722" s="0" t="n">
        <v>31.474</v>
      </c>
      <c r="C1722" s="0" t="n">
        <v>20.909</v>
      </c>
      <c r="D1722" s="0" t="n">
        <v>16.633</v>
      </c>
      <c r="E1722" s="0" t="n">
        <v>27.747</v>
      </c>
      <c r="F1722" s="0" t="n">
        <v>0.1804</v>
      </c>
      <c r="G1722" s="12" t="n">
        <f aca="false">(A1722+(C1722*D1722*COS(RADIANS(E1722))^2-F1722*C1722*D1722)*TAN(RADIANS(B1722)))/(C1722*D1722*SIN(RADIANS(E1722))*COS(RADIANS(E1722)))</f>
        <v>1.01180569978223</v>
      </c>
    </row>
    <row r="1723" customFormat="false" ht="15" hidden="false" customHeight="false" outlineLevel="0" collapsed="false">
      <c r="A1723" s="0" t="n">
        <v>13.137</v>
      </c>
      <c r="B1723" s="0" t="n">
        <v>35.718</v>
      </c>
      <c r="C1723" s="0" t="n">
        <v>19.945</v>
      </c>
      <c r="D1723" s="0" t="n">
        <v>16.442</v>
      </c>
      <c r="E1723" s="0" t="n">
        <v>29.018</v>
      </c>
      <c r="F1723" s="0" t="n">
        <v>0.1744</v>
      </c>
      <c r="G1723" s="12" t="n">
        <f aca="false">(A1723+(C1723*D1723*COS(RADIANS(E1723))^2-F1723*C1723*D1723)*TAN(RADIANS(B1723)))/(C1723*D1723*SIN(RADIANS(E1723))*COS(RADIANS(E1723)))</f>
        <v>1.09504968460982</v>
      </c>
    </row>
    <row r="1724" customFormat="false" ht="15" hidden="false" customHeight="false" outlineLevel="0" collapsed="false">
      <c r="A1724" s="0" t="n">
        <v>24.498</v>
      </c>
      <c r="B1724" s="0" t="n">
        <v>32.705</v>
      </c>
      <c r="C1724" s="0" t="n">
        <v>22.055</v>
      </c>
      <c r="D1724" s="0" t="n">
        <v>15.122</v>
      </c>
      <c r="E1724" s="0" t="n">
        <v>31.878</v>
      </c>
      <c r="F1724" s="0" t="n">
        <v>0.2014</v>
      </c>
      <c r="G1724" s="12" t="n">
        <f aca="false">(A1724+(C1724*D1724*COS(RADIANS(E1724))^2-F1724*C1724*D1724)*TAN(RADIANS(B1724)))/(C1724*D1724*SIN(RADIANS(E1724))*COS(RADIANS(E1724)))</f>
        <v>0.907902777070898</v>
      </c>
    </row>
    <row r="1725" customFormat="false" ht="15" hidden="false" customHeight="false" outlineLevel="0" collapsed="false">
      <c r="A1725" s="0" t="n">
        <v>8.049</v>
      </c>
      <c r="B1725" s="0" t="n">
        <v>31.617</v>
      </c>
      <c r="C1725" s="0" t="n">
        <v>19.898</v>
      </c>
      <c r="D1725" s="0" t="n">
        <v>18.926</v>
      </c>
      <c r="E1725" s="0" t="n">
        <v>28.44</v>
      </c>
      <c r="F1725" s="0" t="n">
        <v>0.1946</v>
      </c>
      <c r="G1725" s="12" t="n">
        <f aca="false">(A1725+(C1725*D1725*COS(RADIANS(E1725))^2-F1725*C1725*D1725)*TAN(RADIANS(B1725)))/(C1725*D1725*SIN(RADIANS(E1725))*COS(RADIANS(E1725)))</f>
        <v>0.901618647191443</v>
      </c>
    </row>
    <row r="1726" customFormat="false" ht="15" hidden="false" customHeight="false" outlineLevel="0" collapsed="false">
      <c r="A1726" s="0" t="n">
        <v>15.815</v>
      </c>
      <c r="B1726" s="0" t="n">
        <v>32.33</v>
      </c>
      <c r="C1726" s="0" t="n">
        <v>19.96</v>
      </c>
      <c r="D1726" s="0" t="n">
        <v>10.812</v>
      </c>
      <c r="E1726" s="0" t="n">
        <v>27.039</v>
      </c>
      <c r="F1726" s="0" t="n">
        <v>0.0067</v>
      </c>
      <c r="G1726" s="12" t="n">
        <f aca="false">(A1726+(C1726*D1726*COS(RADIANS(E1726))^2-F1726*C1726*D1726)*TAN(RADIANS(B1726)))/(C1726*D1726*SIN(RADIANS(E1726))*COS(RADIANS(E1726)))</f>
        <v>1.4105759777588</v>
      </c>
    </row>
    <row r="1727" customFormat="false" ht="15" hidden="false" customHeight="false" outlineLevel="0" collapsed="false">
      <c r="A1727" s="0" t="n">
        <v>10.488</v>
      </c>
      <c r="B1727" s="0" t="n">
        <v>30.17</v>
      </c>
      <c r="C1727" s="0" t="n">
        <v>20.423</v>
      </c>
      <c r="D1727" s="0" t="n">
        <v>13.998</v>
      </c>
      <c r="E1727" s="0" t="n">
        <v>29.524</v>
      </c>
      <c r="F1727" s="0" t="n">
        <v>0.0713</v>
      </c>
      <c r="G1727" s="12" t="n">
        <f aca="false">(A1727+(C1727*D1727*COS(RADIANS(E1727))^2-F1727*C1727*D1727)*TAN(RADIANS(B1727)))/(C1727*D1727*SIN(RADIANS(E1727))*COS(RADIANS(E1727)))</f>
        <v>1.01536082942139</v>
      </c>
    </row>
    <row r="1728" customFormat="false" ht="15" hidden="false" customHeight="false" outlineLevel="0" collapsed="false">
      <c r="A1728" s="0" t="n">
        <v>13.026</v>
      </c>
      <c r="B1728" s="0" t="n">
        <v>35.238</v>
      </c>
      <c r="C1728" s="0" t="n">
        <v>19.129</v>
      </c>
      <c r="D1728" s="0" t="n">
        <v>18.377</v>
      </c>
      <c r="E1728" s="0" t="n">
        <v>25.873</v>
      </c>
      <c r="F1728" s="0" t="n">
        <v>0.071</v>
      </c>
      <c r="G1728" s="12" t="n">
        <f aca="false">(A1728+(C1728*D1728*COS(RADIANS(E1728))^2-F1728*C1728*D1728)*TAN(RADIANS(B1728)))/(C1728*D1728*SIN(RADIANS(E1728))*COS(RADIANS(E1728)))</f>
        <v>1.42318691433548</v>
      </c>
    </row>
    <row r="1729" customFormat="false" ht="15" hidden="false" customHeight="false" outlineLevel="0" collapsed="false">
      <c r="A1729" s="0" t="n">
        <v>15.566</v>
      </c>
      <c r="B1729" s="0" t="n">
        <v>35.45</v>
      </c>
      <c r="C1729" s="0" t="n">
        <v>20.744</v>
      </c>
      <c r="D1729" s="0" t="n">
        <v>9.896</v>
      </c>
      <c r="E1729" s="0" t="n">
        <v>31.786</v>
      </c>
      <c r="F1729" s="0" t="n">
        <v>0.2262</v>
      </c>
      <c r="G1729" s="12" t="n">
        <f aca="false">(A1729+(C1729*D1729*COS(RADIANS(E1729))^2-F1729*C1729*D1729)*TAN(RADIANS(B1729)))/(C1729*D1729*SIN(RADIANS(E1729))*COS(RADIANS(E1729)))</f>
        <v>0.958593187059399</v>
      </c>
    </row>
    <row r="1730" customFormat="false" ht="15" hidden="false" customHeight="false" outlineLevel="0" collapsed="false">
      <c r="A1730" s="0" t="n">
        <v>5.699</v>
      </c>
      <c r="B1730" s="0" t="n">
        <v>32.554</v>
      </c>
      <c r="C1730" s="0" t="n">
        <v>20.467</v>
      </c>
      <c r="D1730" s="0" t="n">
        <v>19.907</v>
      </c>
      <c r="E1730" s="0" t="n">
        <v>26.673</v>
      </c>
      <c r="F1730" s="0" t="n">
        <v>0.1932</v>
      </c>
      <c r="G1730" s="12" t="n">
        <f aca="false">(A1730+(C1730*D1730*COS(RADIANS(E1730))^2-F1730*C1730*D1730)*TAN(RADIANS(B1730)))/(C1730*D1730*SIN(RADIANS(E1730))*COS(RADIANS(E1730)))</f>
        <v>0.998192595792231</v>
      </c>
    </row>
    <row r="1731" customFormat="false" ht="15" hidden="false" customHeight="false" outlineLevel="0" collapsed="false">
      <c r="A1731" s="0" t="n">
        <v>15.947</v>
      </c>
      <c r="B1731" s="0" t="n">
        <v>32.453</v>
      </c>
      <c r="C1731" s="0" t="n">
        <v>18.889</v>
      </c>
      <c r="D1731" s="0" t="n">
        <v>8.704</v>
      </c>
      <c r="E1731" s="0" t="n">
        <v>29.315</v>
      </c>
      <c r="F1731" s="0" t="n">
        <v>0.1659</v>
      </c>
      <c r="G1731" s="12" t="n">
        <f aca="false">(A1731+(C1731*D1731*COS(RADIANS(E1731))^2-F1731*C1731*D1731)*TAN(RADIANS(B1731)))/(C1731*D1731*SIN(RADIANS(E1731))*COS(RADIANS(E1731)))</f>
        <v>1.11257882657753</v>
      </c>
    </row>
    <row r="1732" customFormat="false" ht="15" hidden="false" customHeight="false" outlineLevel="0" collapsed="false">
      <c r="A1732" s="0" t="n">
        <v>22.612</v>
      </c>
      <c r="B1732" s="0" t="n">
        <v>30.325</v>
      </c>
      <c r="C1732" s="0" t="n">
        <v>21.305</v>
      </c>
      <c r="D1732" s="0" t="n">
        <v>15.094</v>
      </c>
      <c r="E1732" s="0" t="n">
        <v>29.862</v>
      </c>
      <c r="F1732" s="0" t="n">
        <v>0.1736</v>
      </c>
      <c r="G1732" s="12" t="n">
        <f aca="false">(A1732+(C1732*D1732*COS(RADIANS(E1732))^2-F1732*C1732*D1732)*TAN(RADIANS(B1732)))/(C1732*D1732*SIN(RADIANS(E1732))*COS(RADIANS(E1732)))</f>
        <v>0.946478556256819</v>
      </c>
    </row>
    <row r="1733" customFormat="false" ht="15" hidden="false" customHeight="false" outlineLevel="0" collapsed="false">
      <c r="A1733" s="0" t="n">
        <v>13.186</v>
      </c>
      <c r="B1733" s="0" t="n">
        <v>32.89</v>
      </c>
      <c r="C1733" s="0" t="n">
        <v>17.939</v>
      </c>
      <c r="D1733" s="0" t="n">
        <v>13.62</v>
      </c>
      <c r="E1733" s="0" t="n">
        <v>29.134</v>
      </c>
      <c r="F1733" s="0" t="n">
        <v>0.2309</v>
      </c>
      <c r="G1733" s="12" t="n">
        <f aca="false">(A1733+(C1733*D1733*COS(RADIANS(E1733))^2-F1733*C1733*D1733)*TAN(RADIANS(B1733)))/(C1733*D1733*SIN(RADIANS(E1733))*COS(RADIANS(E1733)))</f>
        <v>0.936018753457013</v>
      </c>
    </row>
    <row r="1734" customFormat="false" ht="15" hidden="false" customHeight="false" outlineLevel="0" collapsed="false">
      <c r="A1734" s="0" t="n">
        <v>16.039</v>
      </c>
      <c r="B1734" s="0" t="n">
        <v>36.154</v>
      </c>
      <c r="C1734" s="0" t="n">
        <v>19.421</v>
      </c>
      <c r="D1734" s="0" t="n">
        <v>17.591</v>
      </c>
      <c r="E1734" s="0" t="n">
        <v>27.966</v>
      </c>
      <c r="F1734" s="0" t="n">
        <v>0.161</v>
      </c>
      <c r="G1734" s="12" t="n">
        <f aca="false">(A1734+(C1734*D1734*COS(RADIANS(E1734))^2-F1734*C1734*D1734)*TAN(RADIANS(B1734)))/(C1734*D1734*SIN(RADIANS(E1734))*COS(RADIANS(E1734)))</f>
        <v>1.20546865598847</v>
      </c>
    </row>
    <row r="1735" customFormat="false" ht="15" hidden="false" customHeight="false" outlineLevel="0" collapsed="false">
      <c r="A1735" s="0" t="n">
        <v>19.1</v>
      </c>
      <c r="B1735" s="0" t="n">
        <v>32.692</v>
      </c>
      <c r="C1735" s="0" t="n">
        <v>21.435</v>
      </c>
      <c r="D1735" s="0" t="n">
        <v>14.244</v>
      </c>
      <c r="E1735" s="0" t="n">
        <v>29.482</v>
      </c>
      <c r="F1735" s="0" t="n">
        <v>0.1451</v>
      </c>
      <c r="G1735" s="12" t="n">
        <f aca="false">(A1735+(C1735*D1735*COS(RADIANS(E1735))^2-F1735*C1735*D1735)*TAN(RADIANS(B1735)))/(C1735*D1735*SIN(RADIANS(E1735))*COS(RADIANS(E1735)))</f>
        <v>1.06384739285446</v>
      </c>
    </row>
    <row r="1736" customFormat="false" ht="15" hidden="false" customHeight="false" outlineLevel="0" collapsed="false">
      <c r="A1736" s="0" t="n">
        <v>14.344</v>
      </c>
      <c r="B1736" s="0" t="n">
        <v>35.524</v>
      </c>
      <c r="C1736" s="0" t="n">
        <v>19.44</v>
      </c>
      <c r="D1736" s="0" t="n">
        <v>5.811</v>
      </c>
      <c r="E1736" s="0" t="n">
        <v>26.174</v>
      </c>
      <c r="F1736" s="0" t="n">
        <v>0.2806</v>
      </c>
      <c r="G1736" s="12" t="n">
        <f aca="false">(A1736+(C1736*D1736*COS(RADIANS(E1736))^2-F1736*C1736*D1736)*TAN(RADIANS(B1736)))/(C1736*D1736*SIN(RADIANS(E1736))*COS(RADIANS(E1736)))</f>
        <v>1.2672595978745</v>
      </c>
    </row>
    <row r="1737" customFormat="false" ht="15" hidden="false" customHeight="false" outlineLevel="0" collapsed="false">
      <c r="A1737" s="0" t="n">
        <v>12.676</v>
      </c>
      <c r="B1737" s="0" t="n">
        <v>36.541</v>
      </c>
      <c r="C1737" s="0" t="n">
        <v>20.458</v>
      </c>
      <c r="D1737" s="0" t="n">
        <v>17.633</v>
      </c>
      <c r="E1737" s="0" t="n">
        <v>31.252</v>
      </c>
      <c r="F1737" s="0" t="n">
        <v>0.0768</v>
      </c>
      <c r="G1737" s="12" t="n">
        <f aca="false">(A1737+(C1737*D1737*COS(RADIANS(E1737))^2-F1737*C1737*D1737)*TAN(RADIANS(B1737)))/(C1737*D1737*SIN(RADIANS(E1737))*COS(RADIANS(E1737)))</f>
        <v>1.17205259643893</v>
      </c>
    </row>
    <row r="1738" customFormat="false" ht="15" hidden="false" customHeight="false" outlineLevel="0" collapsed="false">
      <c r="A1738" s="0" t="n">
        <v>5.897</v>
      </c>
      <c r="B1738" s="0" t="n">
        <v>31.205</v>
      </c>
      <c r="C1738" s="0" t="n">
        <v>20.506</v>
      </c>
      <c r="D1738" s="0" t="n">
        <v>17.594</v>
      </c>
      <c r="E1738" s="0" t="n">
        <v>23.747</v>
      </c>
      <c r="F1738" s="0" t="n">
        <v>0.0539</v>
      </c>
      <c r="G1738" s="12" t="n">
        <f aca="false">(A1738+(C1738*D1738*COS(RADIANS(E1738))^2-F1738*C1738*D1738)*TAN(RADIANS(B1738)))/(C1738*D1738*SIN(RADIANS(E1738))*COS(RADIANS(E1738)))</f>
        <v>1.33261332837301</v>
      </c>
    </row>
    <row r="1739" customFormat="false" ht="15" hidden="false" customHeight="false" outlineLevel="0" collapsed="false">
      <c r="A1739" s="0" t="n">
        <v>17.564</v>
      </c>
      <c r="B1739" s="0" t="n">
        <v>41.361</v>
      </c>
      <c r="C1739" s="0" t="n">
        <v>19.479</v>
      </c>
      <c r="D1739" s="0" t="n">
        <v>15.757</v>
      </c>
      <c r="E1739" s="0" t="n">
        <v>30.387</v>
      </c>
      <c r="F1739" s="0" t="n">
        <v>0.2254</v>
      </c>
      <c r="G1739" s="12" t="n">
        <f aca="false">(A1739+(C1739*D1739*COS(RADIANS(E1739))^2-F1739*C1739*D1739)*TAN(RADIANS(B1739)))/(C1739*D1739*SIN(RADIANS(E1739))*COS(RADIANS(E1739)))</f>
        <v>1.17776392355892</v>
      </c>
    </row>
    <row r="1740" customFormat="false" ht="15" hidden="false" customHeight="false" outlineLevel="0" collapsed="false">
      <c r="A1740" s="0" t="n">
        <v>14.547</v>
      </c>
      <c r="B1740" s="0" t="n">
        <v>37.528</v>
      </c>
      <c r="C1740" s="0" t="n">
        <v>18.89</v>
      </c>
      <c r="D1740" s="0" t="n">
        <v>14.265</v>
      </c>
      <c r="E1740" s="0" t="n">
        <v>29.181</v>
      </c>
      <c r="F1740" s="0" t="n">
        <v>0.1019</v>
      </c>
      <c r="G1740" s="12" t="n">
        <f aca="false">(A1740+(C1740*D1740*COS(RADIANS(E1740))^2-F1740*C1740*D1740)*TAN(RADIANS(B1740)))/(C1740*D1740*SIN(RADIANS(E1740))*COS(RADIANS(E1740)))</f>
        <v>1.31838153174641</v>
      </c>
    </row>
    <row r="1741" customFormat="false" ht="15" hidden="false" customHeight="false" outlineLevel="0" collapsed="false">
      <c r="A1741" s="0" t="n">
        <v>10.949</v>
      </c>
      <c r="B1741" s="0" t="n">
        <v>33.715</v>
      </c>
      <c r="C1741" s="0" t="n">
        <v>18.569</v>
      </c>
      <c r="D1741" s="0" t="n">
        <v>17.332</v>
      </c>
      <c r="E1741" s="0" t="n">
        <v>24.598</v>
      </c>
      <c r="F1741" s="0" t="n">
        <v>0.1679</v>
      </c>
      <c r="G1741" s="12" t="n">
        <f aca="false">(A1741+(C1741*D1741*COS(RADIANS(E1741))^2-F1741*C1741*D1741)*TAN(RADIANS(B1741)))/(C1741*D1741*SIN(RADIANS(E1741))*COS(RADIANS(E1741)))</f>
        <v>1.25149429384868</v>
      </c>
    </row>
    <row r="1742" customFormat="false" ht="15" hidden="false" customHeight="false" outlineLevel="0" collapsed="false">
      <c r="A1742" s="0" t="n">
        <v>15.506</v>
      </c>
      <c r="B1742" s="0" t="n">
        <v>29.518</v>
      </c>
      <c r="C1742" s="0" t="n">
        <v>20.187</v>
      </c>
      <c r="D1742" s="0" t="n">
        <v>14.342</v>
      </c>
      <c r="E1742" s="0" t="n">
        <v>27.767</v>
      </c>
      <c r="F1742" s="0" t="n">
        <v>0.1838</v>
      </c>
      <c r="G1742" s="12" t="n">
        <f aca="false">(A1742+(C1742*D1742*COS(RADIANS(E1742))^2-F1742*C1742*D1742)*TAN(RADIANS(B1742)))/(C1742*D1742*SIN(RADIANS(E1742))*COS(RADIANS(E1742)))</f>
        <v>0.952847553341014</v>
      </c>
    </row>
    <row r="1743" customFormat="false" ht="15" hidden="false" customHeight="false" outlineLevel="0" collapsed="false">
      <c r="A1743" s="0" t="n">
        <v>12.665</v>
      </c>
      <c r="B1743" s="0" t="n">
        <v>31.711</v>
      </c>
      <c r="C1743" s="0" t="n">
        <v>19.536</v>
      </c>
      <c r="D1743" s="0" t="n">
        <v>17.524</v>
      </c>
      <c r="E1743" s="0" t="n">
        <v>28.593</v>
      </c>
      <c r="F1743" s="0" t="n">
        <v>0.0745</v>
      </c>
      <c r="G1743" s="12" t="n">
        <f aca="false">(A1743+(C1743*D1743*COS(RADIANS(E1743))^2-F1743*C1743*D1743)*TAN(RADIANS(B1743)))/(C1743*D1743*SIN(RADIANS(E1743))*COS(RADIANS(E1743)))</f>
        <v>1.11209095370602</v>
      </c>
    </row>
    <row r="1744" customFormat="false" ht="15" hidden="false" customHeight="false" outlineLevel="0" collapsed="false">
      <c r="A1744" s="0" t="n">
        <v>12.886</v>
      </c>
      <c r="B1744" s="0" t="n">
        <v>40.648</v>
      </c>
      <c r="C1744" s="0" t="n">
        <v>19.366</v>
      </c>
      <c r="D1744" s="0" t="n">
        <v>16.493</v>
      </c>
      <c r="E1744" s="0" t="n">
        <v>27.737</v>
      </c>
      <c r="F1744" s="0" t="n">
        <v>0.1104</v>
      </c>
      <c r="G1744" s="12" t="n">
        <f aca="false">(A1744+(C1744*D1744*COS(RADIANS(E1744))^2-F1744*C1744*D1744)*TAN(RADIANS(B1744)))/(C1744*D1744*SIN(RADIANS(E1744))*COS(RADIANS(E1744)))</f>
        <v>1.50059015132461</v>
      </c>
    </row>
    <row r="1745" customFormat="false" ht="15" hidden="false" customHeight="false" outlineLevel="0" collapsed="false">
      <c r="A1745" s="0" t="n">
        <v>17.425</v>
      </c>
      <c r="B1745" s="0" t="n">
        <v>36.15</v>
      </c>
      <c r="C1745" s="0" t="n">
        <v>19.555</v>
      </c>
      <c r="D1745" s="0" t="n">
        <v>17.899</v>
      </c>
      <c r="E1745" s="0" t="n">
        <v>27.933</v>
      </c>
      <c r="F1745" s="0" t="n">
        <v>0.1518</v>
      </c>
      <c r="G1745" s="12" t="n">
        <f aca="false">(A1745+(C1745*D1745*COS(RADIANS(E1745))^2-F1745*C1745*D1745)*TAN(RADIANS(B1745)))/(C1745*D1745*SIN(RADIANS(E1745))*COS(RADIANS(E1745)))</f>
        <v>1.23018269416575</v>
      </c>
    </row>
    <row r="1746" customFormat="false" ht="15" hidden="false" customHeight="false" outlineLevel="0" collapsed="false">
      <c r="A1746" s="0" t="n">
        <v>9.646</v>
      </c>
      <c r="B1746" s="0" t="n">
        <v>33.157</v>
      </c>
      <c r="C1746" s="0" t="n">
        <v>21.938</v>
      </c>
      <c r="D1746" s="0" t="n">
        <v>18.178</v>
      </c>
      <c r="E1746" s="0" t="n">
        <v>25.696</v>
      </c>
      <c r="F1746" s="0" t="n">
        <v>0.2682</v>
      </c>
      <c r="G1746" s="12" t="n">
        <f aca="false">(A1746+(C1746*D1746*COS(RADIANS(E1746))^2-F1746*C1746*D1746)*TAN(RADIANS(B1746)))/(C1746*D1746*SIN(RADIANS(E1746))*COS(RADIANS(E1746)))</f>
        <v>0.971176102291516</v>
      </c>
    </row>
    <row r="1747" customFormat="false" ht="15" hidden="false" customHeight="false" outlineLevel="0" collapsed="false">
      <c r="A1747" s="0" t="n">
        <v>19.189</v>
      </c>
      <c r="B1747" s="0" t="n">
        <v>33.455</v>
      </c>
      <c r="C1747" s="0" t="n">
        <v>20.71</v>
      </c>
      <c r="D1747" s="0" t="n">
        <v>11.901</v>
      </c>
      <c r="E1747" s="0" t="n">
        <v>26.652</v>
      </c>
      <c r="F1747" s="0" t="n">
        <v>0.0622</v>
      </c>
      <c r="G1747" s="12" t="n">
        <f aca="false">(A1747+(C1747*D1747*COS(RADIANS(E1747))^2-F1747*C1747*D1747)*TAN(RADIANS(B1747)))/(C1747*D1747*SIN(RADIANS(E1747))*COS(RADIANS(E1747)))</f>
        <v>1.40819746132866</v>
      </c>
    </row>
    <row r="1748" customFormat="false" ht="15" hidden="false" customHeight="false" outlineLevel="0" collapsed="false">
      <c r="A1748" s="0" t="n">
        <v>9.409</v>
      </c>
      <c r="B1748" s="0" t="n">
        <v>39.014</v>
      </c>
      <c r="C1748" s="0" t="n">
        <v>19.13</v>
      </c>
      <c r="D1748" s="0" t="n">
        <v>15.877</v>
      </c>
      <c r="E1748" s="0" t="n">
        <v>29.369</v>
      </c>
      <c r="F1748" s="0" t="n">
        <v>0.0402</v>
      </c>
      <c r="G1748" s="12" t="n">
        <f aca="false">(A1748+(C1748*D1748*COS(RADIANS(E1748))^2-F1748*C1748*D1748)*TAN(RADIANS(B1748)))/(C1748*D1748*SIN(RADIANS(E1748))*COS(RADIANS(E1748)))</f>
        <v>1.4359512857193</v>
      </c>
    </row>
    <row r="1749" customFormat="false" ht="15" hidden="false" customHeight="false" outlineLevel="0" collapsed="false">
      <c r="A1749" s="0" t="n">
        <v>12.349</v>
      </c>
      <c r="B1749" s="0" t="n">
        <v>36.097</v>
      </c>
      <c r="C1749" s="0" t="n">
        <v>18.705</v>
      </c>
      <c r="D1749" s="0" t="n">
        <v>15.55</v>
      </c>
      <c r="E1749" s="0" t="n">
        <v>25.242</v>
      </c>
      <c r="F1749" s="0" t="n">
        <v>0.0519</v>
      </c>
      <c r="G1749" s="12" t="n">
        <f aca="false">(A1749+(C1749*D1749*COS(RADIANS(E1749))^2-F1749*C1749*D1749)*TAN(RADIANS(B1749)))/(C1749*D1749*SIN(RADIANS(E1749))*COS(RADIANS(E1749)))</f>
        <v>1.55850462636183</v>
      </c>
    </row>
    <row r="1750" customFormat="false" ht="15" hidden="false" customHeight="false" outlineLevel="0" collapsed="false">
      <c r="A1750" s="0" t="n">
        <v>22.692</v>
      </c>
      <c r="B1750" s="0" t="n">
        <v>33.625</v>
      </c>
      <c r="C1750" s="0" t="n">
        <v>20.342</v>
      </c>
      <c r="D1750" s="0" t="n">
        <v>14.529</v>
      </c>
      <c r="E1750" s="0" t="n">
        <v>26.733</v>
      </c>
      <c r="F1750" s="0" t="n">
        <v>0.181</v>
      </c>
      <c r="G1750" s="12" t="n">
        <f aca="false">(A1750+(C1750*D1750*COS(RADIANS(E1750))^2-F1750*C1750*D1750)*TAN(RADIANS(B1750)))/(C1750*D1750*SIN(RADIANS(E1750))*COS(RADIANS(E1750)))</f>
        <v>1.21186317011025</v>
      </c>
    </row>
    <row r="1751" customFormat="false" ht="15" hidden="false" customHeight="false" outlineLevel="0" collapsed="false">
      <c r="A1751" s="0" t="n">
        <v>19.509</v>
      </c>
      <c r="B1751" s="0" t="n">
        <v>29.883</v>
      </c>
      <c r="C1751" s="0" t="n">
        <v>18.836</v>
      </c>
      <c r="D1751" s="0" t="n">
        <v>19.102</v>
      </c>
      <c r="E1751" s="0" t="n">
        <v>29.54</v>
      </c>
      <c r="F1751" s="0" t="n">
        <v>0.2381</v>
      </c>
      <c r="G1751" s="12" t="n">
        <f aca="false">(A1751+(C1751*D1751*COS(RADIANS(E1751))^2-F1751*C1751*D1751)*TAN(RADIANS(B1751)))/(C1751*D1751*SIN(RADIANS(E1751))*COS(RADIANS(E1751)))</f>
        <v>0.821440856467336</v>
      </c>
    </row>
    <row r="1752" customFormat="false" ht="15" hidden="false" customHeight="false" outlineLevel="0" collapsed="false">
      <c r="A1752" s="0" t="n">
        <v>15.39</v>
      </c>
      <c r="B1752" s="0" t="n">
        <v>34.241</v>
      </c>
      <c r="C1752" s="0" t="n">
        <v>20.07</v>
      </c>
      <c r="D1752" s="0" t="n">
        <v>14.151</v>
      </c>
      <c r="E1752" s="0" t="n">
        <v>28.129</v>
      </c>
      <c r="F1752" s="0" t="n">
        <v>0.167</v>
      </c>
      <c r="G1752" s="12" t="n">
        <f aca="false">(A1752+(C1752*D1752*COS(RADIANS(E1752))^2-F1752*C1752*D1752)*TAN(RADIANS(B1752)))/(C1752*D1752*SIN(RADIANS(E1752))*COS(RADIANS(E1752)))</f>
        <v>1.13012707959734</v>
      </c>
    </row>
    <row r="1753" customFormat="false" ht="15" hidden="false" customHeight="false" outlineLevel="0" collapsed="false">
      <c r="A1753" s="0" t="n">
        <v>11.238</v>
      </c>
      <c r="B1753" s="0" t="n">
        <v>36.606</v>
      </c>
      <c r="C1753" s="0" t="n">
        <v>21.181</v>
      </c>
      <c r="D1753" s="0" t="n">
        <v>12.459</v>
      </c>
      <c r="E1753" s="0" t="n">
        <v>26.172</v>
      </c>
      <c r="F1753" s="0" t="n">
        <v>0.16</v>
      </c>
      <c r="G1753" s="12" t="n">
        <f aca="false">(A1753+(C1753*D1753*COS(RADIANS(E1753))^2-F1753*C1753*D1753)*TAN(RADIANS(B1753)))/(C1753*D1753*SIN(RADIANS(E1753))*COS(RADIANS(E1753)))</f>
        <v>1.31882136698518</v>
      </c>
    </row>
    <row r="1754" customFormat="false" ht="15" hidden="false" customHeight="false" outlineLevel="0" collapsed="false">
      <c r="A1754" s="0" t="n">
        <v>12.883</v>
      </c>
      <c r="B1754" s="0" t="n">
        <v>36.322</v>
      </c>
      <c r="C1754" s="0" t="n">
        <v>21.406</v>
      </c>
      <c r="D1754" s="0" t="n">
        <v>12.601</v>
      </c>
      <c r="E1754" s="0" t="n">
        <v>29.424</v>
      </c>
      <c r="F1754" s="0" t="n">
        <v>0.2913</v>
      </c>
      <c r="G1754" s="12" t="n">
        <f aca="false">(A1754+(C1754*D1754*COS(RADIANS(E1754))^2-F1754*C1754*D1754)*TAN(RADIANS(B1754)))/(C1754*D1754*SIN(RADIANS(E1754))*COS(RADIANS(E1754)))</f>
        <v>0.914571406437429</v>
      </c>
    </row>
    <row r="1755" customFormat="false" ht="15" hidden="false" customHeight="false" outlineLevel="0" collapsed="false">
      <c r="A1755" s="0" t="n">
        <v>15.293</v>
      </c>
      <c r="B1755" s="0" t="n">
        <v>31.772</v>
      </c>
      <c r="C1755" s="0" t="n">
        <v>18.359</v>
      </c>
      <c r="D1755" s="0" t="n">
        <v>16.947</v>
      </c>
      <c r="E1755" s="0" t="n">
        <v>31.207</v>
      </c>
      <c r="F1755" s="0" t="n">
        <v>0.411</v>
      </c>
      <c r="G1755" s="12" t="n">
        <f aca="false">(A1755+(C1755*D1755*COS(RADIANS(E1755))^2-F1755*C1755*D1755)*TAN(RADIANS(B1755)))/(C1755*D1755*SIN(RADIANS(E1755))*COS(RADIANS(E1755)))</f>
        <v>0.558895788783665</v>
      </c>
    </row>
    <row r="1756" customFormat="false" ht="15" hidden="false" customHeight="false" outlineLevel="0" collapsed="false">
      <c r="A1756" s="0" t="n">
        <v>15.15</v>
      </c>
      <c r="B1756" s="0" t="n">
        <v>34.781</v>
      </c>
      <c r="C1756" s="0" t="n">
        <v>20.459</v>
      </c>
      <c r="D1756" s="0" t="n">
        <v>16.126</v>
      </c>
      <c r="E1756" s="0" t="n">
        <v>30.392</v>
      </c>
      <c r="F1756" s="0" t="n">
        <v>0.2232</v>
      </c>
      <c r="G1756" s="12" t="n">
        <f aca="false">(A1756+(C1756*D1756*COS(RADIANS(E1756))^2-F1756*C1756*D1756)*TAN(RADIANS(B1756)))/(C1756*D1756*SIN(RADIANS(E1756))*COS(RADIANS(E1756)))</f>
        <v>0.934170179006145</v>
      </c>
    </row>
    <row r="1757" customFormat="false" ht="15" hidden="false" customHeight="false" outlineLevel="0" collapsed="false">
      <c r="A1757" s="0" t="n">
        <v>14.637</v>
      </c>
      <c r="B1757" s="0" t="n">
        <v>36.523</v>
      </c>
      <c r="C1757" s="0" t="n">
        <v>16.471</v>
      </c>
      <c r="D1757" s="0" t="n">
        <v>13.931</v>
      </c>
      <c r="E1757" s="0" t="n">
        <v>26.333</v>
      </c>
      <c r="F1757" s="0" t="n">
        <v>0.218</v>
      </c>
      <c r="G1757" s="12" t="n">
        <f aca="false">(A1757+(C1757*D1757*COS(RADIANS(E1757))^2-F1757*C1757*D1757)*TAN(RADIANS(B1757)))/(C1757*D1757*SIN(RADIANS(E1757))*COS(RADIANS(E1757)))</f>
        <v>1.2506406986535</v>
      </c>
    </row>
    <row r="1758" customFormat="false" ht="15" hidden="false" customHeight="false" outlineLevel="0" collapsed="false">
      <c r="A1758" s="0" t="n">
        <v>14.877</v>
      </c>
      <c r="B1758" s="0" t="n">
        <v>39.132</v>
      </c>
      <c r="C1758" s="0" t="n">
        <v>18.991</v>
      </c>
      <c r="D1758" s="0" t="n">
        <v>17.433</v>
      </c>
      <c r="E1758" s="0" t="n">
        <v>31.402</v>
      </c>
      <c r="F1758" s="0" t="n">
        <v>0.2774</v>
      </c>
      <c r="G1758" s="12" t="n">
        <f aca="false">(A1758+(C1758*D1758*COS(RADIANS(E1758))^2-F1758*C1758*D1758)*TAN(RADIANS(B1758)))/(C1758*D1758*SIN(RADIANS(E1758))*COS(RADIANS(E1758)))</f>
        <v>0.926345552738719</v>
      </c>
    </row>
    <row r="1759" customFormat="false" ht="15" hidden="false" customHeight="false" outlineLevel="0" collapsed="false">
      <c r="A1759" s="0" t="n">
        <v>14.142</v>
      </c>
      <c r="B1759" s="0" t="n">
        <v>33.753</v>
      </c>
      <c r="C1759" s="0" t="n">
        <v>19.536</v>
      </c>
      <c r="D1759" s="0" t="n">
        <v>14.841</v>
      </c>
      <c r="E1759" s="0" t="n">
        <v>30.387</v>
      </c>
      <c r="F1759" s="0" t="n">
        <v>0.1336</v>
      </c>
      <c r="G1759" s="12" t="n">
        <f aca="false">(A1759+(C1759*D1759*COS(RADIANS(E1759))^2-F1759*C1759*D1759)*TAN(RADIANS(B1759)))/(C1759*D1759*SIN(RADIANS(E1759))*COS(RADIANS(E1759)))</f>
        <v>1.04678413536099</v>
      </c>
    </row>
    <row r="1760" customFormat="false" ht="15" hidden="false" customHeight="false" outlineLevel="0" collapsed="false">
      <c r="A1760" s="0" t="n">
        <v>9.232</v>
      </c>
      <c r="B1760" s="0" t="n">
        <v>40.232</v>
      </c>
      <c r="C1760" s="0" t="n">
        <v>20.344</v>
      </c>
      <c r="D1760" s="0" t="n">
        <v>18.894</v>
      </c>
      <c r="E1760" s="0" t="n">
        <v>30.975</v>
      </c>
      <c r="F1760" s="0" t="n">
        <v>0.0569</v>
      </c>
      <c r="G1760" s="12" t="n">
        <f aca="false">(A1760+(C1760*D1760*COS(RADIANS(E1760))^2-F1760*C1760*D1760)*TAN(RADIANS(B1760)))/(C1760*D1760*SIN(RADIANS(E1760))*COS(RADIANS(E1760)))</f>
        <v>1.35474952096486</v>
      </c>
    </row>
    <row r="1761" customFormat="false" ht="15" hidden="false" customHeight="false" outlineLevel="0" collapsed="false">
      <c r="A1761" s="0" t="n">
        <v>12.934</v>
      </c>
      <c r="B1761" s="0" t="n">
        <v>36.369</v>
      </c>
      <c r="C1761" s="0" t="n">
        <v>20.553</v>
      </c>
      <c r="D1761" s="0" t="n">
        <v>11.713</v>
      </c>
      <c r="E1761" s="0" t="n">
        <v>27.054</v>
      </c>
      <c r="F1761" s="0" t="n">
        <v>0.3146</v>
      </c>
      <c r="G1761" s="12" t="n">
        <f aca="false">(A1761+(C1761*D1761*COS(RADIANS(E1761))^2-F1761*C1761*D1761)*TAN(RADIANS(B1761)))/(C1761*D1761*SIN(RADIANS(E1761))*COS(RADIANS(E1761)))</f>
        <v>1.00263625842711</v>
      </c>
    </row>
    <row r="1762" customFormat="false" ht="15" hidden="false" customHeight="false" outlineLevel="0" collapsed="false">
      <c r="A1762" s="0" t="n">
        <v>18.658</v>
      </c>
      <c r="B1762" s="0" t="n">
        <v>33.118</v>
      </c>
      <c r="C1762" s="0" t="n">
        <v>19.711</v>
      </c>
      <c r="D1762" s="0" t="n">
        <v>16.63</v>
      </c>
      <c r="E1762" s="0" t="n">
        <v>28.028</v>
      </c>
      <c r="F1762" s="0" t="n">
        <v>0.1456</v>
      </c>
      <c r="G1762" s="12" t="n">
        <f aca="false">(A1762+(C1762*D1762*COS(RADIANS(E1762))^2-F1762*C1762*D1762)*TAN(RADIANS(B1762)))/(C1762*D1762*SIN(RADIANS(E1762))*COS(RADIANS(E1762)))</f>
        <v>1.13366855932643</v>
      </c>
    </row>
    <row r="1763" customFormat="false" ht="15" hidden="false" customHeight="false" outlineLevel="0" collapsed="false">
      <c r="A1763" s="0" t="n">
        <v>9.527</v>
      </c>
      <c r="B1763" s="0" t="n">
        <v>31.825</v>
      </c>
      <c r="C1763" s="0" t="n">
        <v>20.654</v>
      </c>
      <c r="D1763" s="0" t="n">
        <v>10.025</v>
      </c>
      <c r="E1763" s="0" t="n">
        <v>28.873</v>
      </c>
      <c r="F1763" s="0" t="n">
        <v>0.1185</v>
      </c>
      <c r="G1763" s="12" t="n">
        <f aca="false">(A1763+(C1763*D1763*COS(RADIANS(E1763))^2-F1763*C1763*D1763)*TAN(RADIANS(B1763)))/(C1763*D1763*SIN(RADIANS(E1763))*COS(RADIANS(E1763)))</f>
        <v>1.06040963350874</v>
      </c>
    </row>
    <row r="1764" customFormat="false" ht="15" hidden="false" customHeight="false" outlineLevel="0" collapsed="false">
      <c r="A1764" s="0" t="n">
        <v>14.242</v>
      </c>
      <c r="B1764" s="0" t="n">
        <v>28.311</v>
      </c>
      <c r="C1764" s="0" t="n">
        <v>20.942</v>
      </c>
      <c r="D1764" s="0" t="n">
        <v>5</v>
      </c>
      <c r="E1764" s="0" t="n">
        <v>26.115</v>
      </c>
      <c r="F1764" s="0" t="n">
        <v>0.1762</v>
      </c>
      <c r="G1764" s="12" t="n">
        <f aca="false">(A1764+(C1764*D1764*COS(RADIANS(E1764))^2-F1764*C1764*D1764)*TAN(RADIANS(B1764)))/(C1764*D1764*SIN(RADIANS(E1764))*COS(RADIANS(E1764)))</f>
        <v>1.20285766732125</v>
      </c>
    </row>
    <row r="1765" customFormat="false" ht="15" hidden="false" customHeight="false" outlineLevel="0" collapsed="false">
      <c r="A1765" s="0" t="n">
        <v>11.721</v>
      </c>
      <c r="B1765" s="0" t="n">
        <v>31.855</v>
      </c>
      <c r="C1765" s="0" t="n">
        <v>18.825</v>
      </c>
      <c r="D1765" s="0" t="n">
        <v>13.583</v>
      </c>
      <c r="E1765" s="0" t="n">
        <v>25.925</v>
      </c>
      <c r="F1765" s="0" t="n">
        <v>0.1061</v>
      </c>
      <c r="G1765" s="12" t="n">
        <f aca="false">(A1765+(C1765*D1765*COS(RADIANS(E1765))^2-F1765*C1765*D1765)*TAN(RADIANS(B1765)))/(C1765*D1765*SIN(RADIANS(E1765))*COS(RADIANS(E1765)))</f>
        <v>1.22712631818049</v>
      </c>
    </row>
    <row r="1766" customFormat="false" ht="15" hidden="false" customHeight="false" outlineLevel="0" collapsed="false">
      <c r="A1766" s="0" t="n">
        <v>15.445</v>
      </c>
      <c r="B1766" s="0" t="n">
        <v>39.379</v>
      </c>
      <c r="C1766" s="0" t="n">
        <v>20.325</v>
      </c>
      <c r="D1766" s="0" t="n">
        <v>14.731</v>
      </c>
      <c r="E1766" s="0" t="n">
        <v>26.953</v>
      </c>
      <c r="F1766" s="0" t="n">
        <v>0</v>
      </c>
      <c r="G1766" s="12" t="n">
        <f aca="false">(A1766+(C1766*D1766*COS(RADIANS(E1766))^2-F1766*C1766*D1766)*TAN(RADIANS(B1766)))/(C1766*D1766*SIN(RADIANS(E1766))*COS(RADIANS(E1766)))</f>
        <v>1.74185214374782</v>
      </c>
    </row>
    <row r="1767" customFormat="false" ht="15" hidden="false" customHeight="false" outlineLevel="0" collapsed="false">
      <c r="A1767" s="0" t="n">
        <v>13.445</v>
      </c>
      <c r="B1767" s="0" t="n">
        <v>33.529</v>
      </c>
      <c r="C1767" s="0" t="n">
        <v>19.263</v>
      </c>
      <c r="D1767" s="0" t="n">
        <v>13.503</v>
      </c>
      <c r="E1767" s="0" t="n">
        <v>31.082</v>
      </c>
      <c r="F1767" s="0" t="n">
        <v>0.1072</v>
      </c>
      <c r="G1767" s="12" t="n">
        <f aca="false">(A1767+(C1767*D1767*COS(RADIANS(E1767))^2-F1767*C1767*D1767)*TAN(RADIANS(B1767)))/(C1767*D1767*SIN(RADIANS(E1767))*COS(RADIANS(E1767)))</f>
        <v>1.05546154292694</v>
      </c>
    </row>
    <row r="1768" customFormat="false" ht="15" hidden="false" customHeight="false" outlineLevel="0" collapsed="false">
      <c r="A1768" s="0" t="n">
        <v>20.91</v>
      </c>
      <c r="B1768" s="0" t="n">
        <v>29.982</v>
      </c>
      <c r="C1768" s="0" t="n">
        <v>20.675</v>
      </c>
      <c r="D1768" s="0" t="n">
        <v>14.67</v>
      </c>
      <c r="E1768" s="0" t="n">
        <v>28.321</v>
      </c>
      <c r="F1768" s="0" t="n">
        <v>0.1727</v>
      </c>
      <c r="G1768" s="12" t="n">
        <f aca="false">(A1768+(C1768*D1768*COS(RADIANS(E1768))^2-F1768*C1768*D1768)*TAN(RADIANS(B1768)))/(C1768*D1768*SIN(RADIANS(E1768))*COS(RADIANS(E1768)))</f>
        <v>0.997039146421864</v>
      </c>
    </row>
    <row r="1769" customFormat="false" ht="15" hidden="false" customHeight="false" outlineLevel="0" collapsed="false">
      <c r="A1769" s="0" t="n">
        <v>17.026</v>
      </c>
      <c r="B1769" s="0" t="n">
        <v>32.345</v>
      </c>
      <c r="C1769" s="0" t="n">
        <v>20.976</v>
      </c>
      <c r="D1769" s="0" t="n">
        <v>14.705</v>
      </c>
      <c r="E1769" s="0" t="n">
        <v>27.048</v>
      </c>
      <c r="F1769" s="0" t="n">
        <v>0.1367</v>
      </c>
      <c r="G1769" s="12" t="n">
        <f aca="false">(A1769+(C1769*D1769*COS(RADIANS(E1769))^2-F1769*C1769*D1769)*TAN(RADIANS(B1769)))/(C1769*D1769*SIN(RADIANS(E1769))*COS(RADIANS(E1769)))</f>
        <v>1.1628421048468</v>
      </c>
    </row>
    <row r="1770" customFormat="false" ht="15" hidden="false" customHeight="false" outlineLevel="0" collapsed="false">
      <c r="A1770" s="0" t="n">
        <v>9.753</v>
      </c>
      <c r="B1770" s="0" t="n">
        <v>34.998</v>
      </c>
      <c r="C1770" s="0" t="n">
        <v>20.251</v>
      </c>
      <c r="D1770" s="0" t="n">
        <v>12.638</v>
      </c>
      <c r="E1770" s="0" t="n">
        <v>27.972</v>
      </c>
      <c r="F1770" s="0" t="n">
        <v>0.1277</v>
      </c>
      <c r="G1770" s="12" t="n">
        <f aca="false">(A1770+(C1770*D1770*COS(RADIANS(E1770))^2-F1770*C1770*D1770)*TAN(RADIANS(B1770)))/(C1770*D1770*SIN(RADIANS(E1770))*COS(RADIANS(E1770)))</f>
        <v>1.19451013347268</v>
      </c>
    </row>
    <row r="1771" customFormat="false" ht="15" hidden="false" customHeight="false" outlineLevel="0" collapsed="false">
      <c r="A1771" s="0" t="n">
        <v>17.685</v>
      </c>
      <c r="B1771" s="0" t="n">
        <v>33.835</v>
      </c>
      <c r="C1771" s="0" t="n">
        <v>21.023</v>
      </c>
      <c r="D1771" s="0" t="n">
        <v>14.758</v>
      </c>
      <c r="E1771" s="0" t="n">
        <v>26.184</v>
      </c>
      <c r="F1771" s="0" t="n">
        <v>0.2573</v>
      </c>
      <c r="G1771" s="12" t="n">
        <f aca="false">(A1771+(C1771*D1771*COS(RADIANS(E1771))^2-F1771*C1771*D1771)*TAN(RADIANS(B1771)))/(C1771*D1771*SIN(RADIANS(E1771))*COS(RADIANS(E1771)))</f>
        <v>1.07162460327385</v>
      </c>
    </row>
    <row r="1772" customFormat="false" ht="15" hidden="false" customHeight="false" outlineLevel="0" collapsed="false">
      <c r="A1772" s="0" t="n">
        <v>11.901</v>
      </c>
      <c r="B1772" s="0" t="n">
        <v>36.001</v>
      </c>
      <c r="C1772" s="0" t="n">
        <v>19.429</v>
      </c>
      <c r="D1772" s="0" t="n">
        <v>14.687</v>
      </c>
      <c r="E1772" s="0" t="n">
        <v>22.888</v>
      </c>
      <c r="F1772" s="0" t="n">
        <v>0.171</v>
      </c>
      <c r="G1772" s="12" t="n">
        <f aca="false">(A1772+(C1772*D1772*COS(RADIANS(E1772))^2-F1772*C1772*D1772)*TAN(RADIANS(B1772)))/(C1772*D1772*SIN(RADIANS(E1772))*COS(RADIANS(E1772)))</f>
        <v>1.49068381468214</v>
      </c>
    </row>
    <row r="1773" customFormat="false" ht="15" hidden="false" customHeight="false" outlineLevel="0" collapsed="false">
      <c r="A1773" s="0" t="n">
        <v>12.692</v>
      </c>
      <c r="B1773" s="0" t="n">
        <v>33.867</v>
      </c>
      <c r="C1773" s="0" t="n">
        <v>21.421</v>
      </c>
      <c r="D1773" s="0" t="n">
        <v>17.887</v>
      </c>
      <c r="E1773" s="0" t="n">
        <v>31.726</v>
      </c>
      <c r="F1773" s="0" t="n">
        <v>0.0372</v>
      </c>
      <c r="G1773" s="12" t="n">
        <f aca="false">(A1773+(C1773*D1773*COS(RADIANS(E1773))^2-F1773*C1773*D1773)*TAN(RADIANS(B1773)))/(C1773*D1773*SIN(RADIANS(E1773))*COS(RADIANS(E1773)))</f>
        <v>1.10380051593881</v>
      </c>
    </row>
    <row r="1774" customFormat="false" ht="15" hidden="false" customHeight="false" outlineLevel="0" collapsed="false">
      <c r="A1774" s="0" t="n">
        <v>16.255</v>
      </c>
      <c r="B1774" s="0" t="n">
        <v>33.082</v>
      </c>
      <c r="C1774" s="0" t="n">
        <v>19.054</v>
      </c>
      <c r="D1774" s="0" t="n">
        <v>14.736</v>
      </c>
      <c r="E1774" s="0" t="n">
        <v>28.235</v>
      </c>
      <c r="F1774" s="0" t="n">
        <v>0.1181</v>
      </c>
      <c r="G1774" s="12" t="n">
        <f aca="false">(A1774+(C1774*D1774*COS(RADIANS(E1774))^2-F1774*C1774*D1774)*TAN(RADIANS(B1774)))/(C1774*D1774*SIN(RADIANS(E1774))*COS(RADIANS(E1774)))</f>
        <v>1.16746903521315</v>
      </c>
    </row>
    <row r="1775" customFormat="false" ht="15" hidden="false" customHeight="false" outlineLevel="0" collapsed="false">
      <c r="A1775" s="0" t="n">
        <v>13.033</v>
      </c>
      <c r="B1775" s="0" t="n">
        <v>34.669</v>
      </c>
      <c r="C1775" s="0" t="n">
        <v>20.542</v>
      </c>
      <c r="D1775" s="0" t="n">
        <v>25.332</v>
      </c>
      <c r="E1775" s="0" t="n">
        <v>24.95</v>
      </c>
      <c r="F1775" s="0" t="n">
        <v>0.1375</v>
      </c>
      <c r="G1775" s="12" t="n">
        <f aca="false">(A1775+(C1775*D1775*COS(RADIANS(E1775))^2-F1775*C1775*D1775)*TAN(RADIANS(B1775)))/(C1775*D1775*SIN(RADIANS(E1775))*COS(RADIANS(E1775)))</f>
        <v>1.3034305288103</v>
      </c>
    </row>
    <row r="1776" customFormat="false" ht="15" hidden="false" customHeight="false" outlineLevel="0" collapsed="false">
      <c r="A1776" s="0" t="n">
        <v>18.571</v>
      </c>
      <c r="B1776" s="0" t="n">
        <v>31.461</v>
      </c>
      <c r="C1776" s="0" t="n">
        <v>20.131</v>
      </c>
      <c r="D1776" s="0" t="n">
        <v>11.352</v>
      </c>
      <c r="E1776" s="0" t="n">
        <v>26.138</v>
      </c>
      <c r="F1776" s="0" t="n">
        <v>0.1702</v>
      </c>
      <c r="G1776" s="12" t="n">
        <f aca="false">(A1776+(C1776*D1776*COS(RADIANS(E1776))^2-F1776*C1776*D1776)*TAN(RADIANS(B1776)))/(C1776*D1776*SIN(RADIANS(E1776))*COS(RADIANS(E1776)))</f>
        <v>1.18903589656726</v>
      </c>
    </row>
    <row r="1777" customFormat="false" ht="15" hidden="false" customHeight="false" outlineLevel="0" collapsed="false">
      <c r="A1777" s="0" t="n">
        <v>11.902</v>
      </c>
      <c r="B1777" s="0" t="n">
        <v>35.383</v>
      </c>
      <c r="C1777" s="0" t="n">
        <v>20.497</v>
      </c>
      <c r="D1777" s="0" t="n">
        <v>11.963</v>
      </c>
      <c r="E1777" s="0" t="n">
        <v>29.831</v>
      </c>
      <c r="F1777" s="0" t="n">
        <v>0.1388</v>
      </c>
      <c r="G1777" s="12" t="n">
        <f aca="false">(A1777+(C1777*D1777*COS(RADIANS(E1777))^2-F1777*C1777*D1777)*TAN(RADIANS(B1777)))/(C1777*D1777*SIN(RADIANS(E1777))*COS(RADIANS(E1777)))</f>
        <v>1.12259609789926</v>
      </c>
    </row>
    <row r="1778" customFormat="false" ht="15" hidden="false" customHeight="false" outlineLevel="0" collapsed="false">
      <c r="A1778" s="0" t="n">
        <v>12.524</v>
      </c>
      <c r="B1778" s="0" t="n">
        <v>31.876</v>
      </c>
      <c r="C1778" s="0" t="n">
        <v>19.279</v>
      </c>
      <c r="D1778" s="0" t="n">
        <v>8.482</v>
      </c>
      <c r="E1778" s="0" t="n">
        <v>27.673</v>
      </c>
      <c r="F1778" s="0" t="n">
        <v>0.1818</v>
      </c>
      <c r="G1778" s="12" t="n">
        <f aca="false">(A1778+(C1778*D1778*COS(RADIANS(E1778))^2-F1778*C1778*D1778)*TAN(RADIANS(B1778)))/(C1778*D1778*SIN(RADIANS(E1778))*COS(RADIANS(E1778)))</f>
        <v>1.09717146518014</v>
      </c>
    </row>
    <row r="1779" customFormat="false" ht="15" hidden="false" customHeight="false" outlineLevel="0" collapsed="false">
      <c r="A1779" s="0" t="n">
        <v>12.375</v>
      </c>
      <c r="B1779" s="0" t="n">
        <v>34.298</v>
      </c>
      <c r="C1779" s="0" t="n">
        <v>21.068</v>
      </c>
      <c r="D1779" s="0" t="n">
        <v>14.748</v>
      </c>
      <c r="E1779" s="0" t="n">
        <v>26.457</v>
      </c>
      <c r="F1779" s="0" t="n">
        <v>0.2236</v>
      </c>
      <c r="G1779" s="12" t="n">
        <f aca="false">(A1779+(C1779*D1779*COS(RADIANS(E1779))^2-F1779*C1779*D1779)*TAN(RADIANS(B1779)))/(C1779*D1779*SIN(RADIANS(E1779))*COS(RADIANS(E1779)))</f>
        <v>1.08813476854566</v>
      </c>
    </row>
    <row r="1780" customFormat="false" ht="15" hidden="false" customHeight="false" outlineLevel="0" collapsed="false">
      <c r="A1780" s="0" t="n">
        <v>12.737</v>
      </c>
      <c r="B1780" s="0" t="n">
        <v>35.805</v>
      </c>
      <c r="C1780" s="0" t="n">
        <v>21.569</v>
      </c>
      <c r="D1780" s="0" t="n">
        <v>16.286</v>
      </c>
      <c r="E1780" s="0" t="n">
        <v>29.389</v>
      </c>
      <c r="F1780" s="0" t="n">
        <v>0.0674</v>
      </c>
      <c r="G1780" s="12" t="n">
        <f aca="false">(A1780+(C1780*D1780*COS(RADIANS(E1780))^2-F1780*C1780*D1780)*TAN(RADIANS(B1780)))/(C1780*D1780*SIN(RADIANS(E1780))*COS(RADIANS(E1780)))</f>
        <v>1.25186831957631</v>
      </c>
    </row>
    <row r="1781" customFormat="false" ht="15" hidden="false" customHeight="false" outlineLevel="0" collapsed="false">
      <c r="A1781" s="0" t="n">
        <v>19.397</v>
      </c>
      <c r="B1781" s="0" t="n">
        <v>33.755</v>
      </c>
      <c r="C1781" s="0" t="n">
        <v>20.909</v>
      </c>
      <c r="D1781" s="0" t="n">
        <v>16.231</v>
      </c>
      <c r="E1781" s="0" t="n">
        <v>29.493</v>
      </c>
      <c r="F1781" s="0" t="n">
        <v>0</v>
      </c>
      <c r="G1781" s="12" t="n">
        <f aca="false">(A1781+(C1781*D1781*COS(RADIANS(E1781))^2-F1781*C1781*D1781)*TAN(RADIANS(B1781)))/(C1781*D1781*SIN(RADIANS(E1781))*COS(RADIANS(E1781)))</f>
        <v>1.31493966091261</v>
      </c>
    </row>
    <row r="1782" customFormat="false" ht="15" hidden="false" customHeight="false" outlineLevel="0" collapsed="false">
      <c r="A1782" s="0" t="n">
        <v>17.515</v>
      </c>
      <c r="B1782" s="0" t="n">
        <v>34.776</v>
      </c>
      <c r="C1782" s="0" t="n">
        <v>20.649</v>
      </c>
      <c r="D1782" s="0" t="n">
        <v>17.28</v>
      </c>
      <c r="E1782" s="0" t="n">
        <v>30.47</v>
      </c>
      <c r="F1782" s="0" t="n">
        <v>0.1793</v>
      </c>
      <c r="G1782" s="12" t="n">
        <f aca="false">(A1782+(C1782*D1782*COS(RADIANS(E1782))^2-F1782*C1782*D1782)*TAN(RADIANS(B1782)))/(C1782*D1782*SIN(RADIANS(E1782))*COS(RADIANS(E1782)))</f>
        <v>1.00770512181526</v>
      </c>
    </row>
    <row r="1783" customFormat="false" ht="15" hidden="false" customHeight="false" outlineLevel="0" collapsed="false">
      <c r="A1783" s="0" t="n">
        <v>21.84</v>
      </c>
      <c r="B1783" s="0" t="n">
        <v>36.921</v>
      </c>
      <c r="C1783" s="0" t="n">
        <v>19.611</v>
      </c>
      <c r="D1783" s="0" t="n">
        <v>19.448</v>
      </c>
      <c r="E1783" s="0" t="n">
        <v>28.709</v>
      </c>
      <c r="F1783" s="0" t="n">
        <v>0.0205</v>
      </c>
      <c r="G1783" s="12" t="n">
        <f aca="false">(A1783+(C1783*D1783*COS(RADIANS(E1783))^2-F1783*C1783*D1783)*TAN(RADIANS(B1783)))/(C1783*D1783*SIN(RADIANS(E1783))*COS(RADIANS(E1783)))</f>
        <v>1.47129492841719</v>
      </c>
    </row>
    <row r="1784" customFormat="false" ht="15" hidden="false" customHeight="false" outlineLevel="0" collapsed="false">
      <c r="A1784" s="0" t="n">
        <v>24.071</v>
      </c>
      <c r="B1784" s="0" t="n">
        <v>32.682</v>
      </c>
      <c r="C1784" s="0" t="n">
        <v>22.963</v>
      </c>
      <c r="D1784" s="0" t="n">
        <v>15.027</v>
      </c>
      <c r="E1784" s="0" t="n">
        <v>27.876</v>
      </c>
      <c r="F1784" s="0" t="n">
        <v>0.1101</v>
      </c>
      <c r="G1784" s="12" t="n">
        <f aca="false">(A1784+(C1784*D1784*COS(RADIANS(E1784))^2-F1784*C1784*D1784)*TAN(RADIANS(B1784)))/(C1784*D1784*SIN(RADIANS(E1784))*COS(RADIANS(E1784)))</f>
        <v>1.2107759369078</v>
      </c>
    </row>
    <row r="1785" customFormat="false" ht="15" hidden="false" customHeight="false" outlineLevel="0" collapsed="false">
      <c r="A1785" s="0" t="n">
        <v>10.877</v>
      </c>
      <c r="B1785" s="0" t="n">
        <v>39.894</v>
      </c>
      <c r="C1785" s="0" t="n">
        <v>20.795</v>
      </c>
      <c r="D1785" s="0" t="n">
        <v>16.229</v>
      </c>
      <c r="E1785" s="0" t="n">
        <v>27.118</v>
      </c>
      <c r="F1785" s="0" t="n">
        <v>0.0616</v>
      </c>
      <c r="G1785" s="12" t="n">
        <f aca="false">(A1785+(C1785*D1785*COS(RADIANS(E1785))^2-F1785*C1785*D1785)*TAN(RADIANS(B1785)))/(C1785*D1785*SIN(RADIANS(E1785))*COS(RADIANS(E1785)))</f>
        <v>1.58484500107558</v>
      </c>
    </row>
    <row r="1786" customFormat="false" ht="15" hidden="false" customHeight="false" outlineLevel="0" collapsed="false">
      <c r="A1786" s="0" t="n">
        <v>15.282</v>
      </c>
      <c r="B1786" s="0" t="n">
        <v>31.059</v>
      </c>
      <c r="C1786" s="0" t="n">
        <v>19.93</v>
      </c>
      <c r="D1786" s="0" t="n">
        <v>11.955</v>
      </c>
      <c r="E1786" s="0" t="n">
        <v>29.398</v>
      </c>
      <c r="F1786" s="0" t="n">
        <v>0.0797</v>
      </c>
      <c r="G1786" s="12" t="n">
        <f aca="false">(A1786+(C1786*D1786*COS(RADIANS(E1786))^2-F1786*C1786*D1786)*TAN(RADIANS(B1786)))/(C1786*D1786*SIN(RADIANS(E1786))*COS(RADIANS(E1786)))</f>
        <v>1.10666899559882</v>
      </c>
    </row>
    <row r="1787" customFormat="false" ht="15" hidden="false" customHeight="false" outlineLevel="0" collapsed="false">
      <c r="A1787" s="0" t="n">
        <v>10.295</v>
      </c>
      <c r="B1787" s="0" t="n">
        <v>38.537</v>
      </c>
      <c r="C1787" s="0" t="n">
        <v>17.216</v>
      </c>
      <c r="D1787" s="0" t="n">
        <v>15.265</v>
      </c>
      <c r="E1787" s="0" t="n">
        <v>30.054</v>
      </c>
      <c r="F1787" s="0" t="n">
        <v>0.1274</v>
      </c>
      <c r="G1787" s="12" t="n">
        <f aca="false">(A1787+(C1787*D1787*COS(RADIANS(E1787))^2-F1787*C1787*D1787)*TAN(RADIANS(B1787)))/(C1787*D1787*SIN(RADIANS(E1787))*COS(RADIANS(E1787)))</f>
        <v>1.2328475648525</v>
      </c>
    </row>
    <row r="1788" customFormat="false" ht="15" hidden="false" customHeight="false" outlineLevel="0" collapsed="false">
      <c r="A1788" s="0" t="n">
        <v>11.89</v>
      </c>
      <c r="B1788" s="0" t="n">
        <v>36.137</v>
      </c>
      <c r="C1788" s="0" t="n">
        <v>19.359</v>
      </c>
      <c r="D1788" s="0" t="n">
        <v>16.278</v>
      </c>
      <c r="E1788" s="0" t="n">
        <v>26.478</v>
      </c>
      <c r="F1788" s="0" t="n">
        <v>0.0279</v>
      </c>
      <c r="G1788" s="12" t="n">
        <f aca="false">(A1788+(C1788*D1788*COS(RADIANS(E1788))^2-F1788*C1788*D1788)*TAN(RADIANS(B1788)))/(C1788*D1788*SIN(RADIANS(E1788))*COS(RADIANS(E1788)))</f>
        <v>1.50946347261221</v>
      </c>
    </row>
    <row r="1789" customFormat="false" ht="15" hidden="false" customHeight="false" outlineLevel="0" collapsed="false">
      <c r="A1789" s="0" t="n">
        <v>12.48</v>
      </c>
      <c r="B1789" s="0" t="n">
        <v>36.253</v>
      </c>
      <c r="C1789" s="0" t="n">
        <v>21.019</v>
      </c>
      <c r="D1789" s="0" t="n">
        <v>10.36</v>
      </c>
      <c r="E1789" s="0" t="n">
        <v>27.64</v>
      </c>
      <c r="F1789" s="0" t="n">
        <v>0.091</v>
      </c>
      <c r="G1789" s="12" t="n">
        <f aca="false">(A1789+(C1789*D1789*COS(RADIANS(E1789))^2-F1789*C1789*D1789)*TAN(RADIANS(B1789)))/(C1789*D1789*SIN(RADIANS(E1789))*COS(RADIANS(E1789)))</f>
        <v>1.37739195916177</v>
      </c>
    </row>
    <row r="1790" customFormat="false" ht="15" hidden="false" customHeight="false" outlineLevel="0" collapsed="false">
      <c r="A1790" s="0" t="n">
        <v>10.771</v>
      </c>
      <c r="B1790" s="0" t="n">
        <v>37.883</v>
      </c>
      <c r="C1790" s="0" t="n">
        <v>19.735</v>
      </c>
      <c r="D1790" s="0" t="n">
        <v>15.411</v>
      </c>
      <c r="E1790" s="0" t="n">
        <v>31.495</v>
      </c>
      <c r="F1790" s="0" t="n">
        <v>0.1732</v>
      </c>
      <c r="G1790" s="12" t="n">
        <f aca="false">(A1790+(C1790*D1790*COS(RADIANS(E1790))^2-F1790*C1790*D1790)*TAN(RADIANS(B1790)))/(C1790*D1790*SIN(RADIANS(E1790))*COS(RADIANS(E1790)))</f>
        <v>1.04684092340496</v>
      </c>
    </row>
    <row r="1791" customFormat="false" ht="15" hidden="false" customHeight="false" outlineLevel="0" collapsed="false">
      <c r="A1791" s="0" t="n">
        <v>10.792</v>
      </c>
      <c r="B1791" s="0" t="n">
        <v>34.914</v>
      </c>
      <c r="C1791" s="0" t="n">
        <v>19.433</v>
      </c>
      <c r="D1791" s="0" t="n">
        <v>16.453</v>
      </c>
      <c r="E1791" s="0" t="n">
        <v>26.311</v>
      </c>
      <c r="F1791" s="0" t="n">
        <v>0.0849</v>
      </c>
      <c r="G1791" s="12" t="n">
        <f aca="false">(A1791+(C1791*D1791*COS(RADIANS(E1791))^2-F1791*C1791*D1791)*TAN(RADIANS(B1791)))/(C1791*D1791*SIN(RADIANS(E1791))*COS(RADIANS(E1791)))</f>
        <v>1.34736786399857</v>
      </c>
    </row>
    <row r="1792" customFormat="false" ht="15" hidden="false" customHeight="false" outlineLevel="0" collapsed="false">
      <c r="A1792" s="0" t="n">
        <v>14.423</v>
      </c>
      <c r="B1792" s="0" t="n">
        <v>35.462</v>
      </c>
      <c r="C1792" s="0" t="n">
        <v>20.665</v>
      </c>
      <c r="D1792" s="0" t="n">
        <v>16.094</v>
      </c>
      <c r="E1792" s="0" t="n">
        <v>27.871</v>
      </c>
      <c r="F1792" s="0" t="n">
        <v>0.0654</v>
      </c>
      <c r="G1792" s="12" t="n">
        <f aca="false">(A1792+(C1792*D1792*COS(RADIANS(E1792))^2-F1792*C1792*D1792)*TAN(RADIANS(B1792)))/(C1792*D1792*SIN(RADIANS(E1792))*COS(RADIANS(E1792)))</f>
        <v>1.33915007048844</v>
      </c>
    </row>
    <row r="1793" customFormat="false" ht="15" hidden="false" customHeight="false" outlineLevel="0" collapsed="false">
      <c r="A1793" s="0" t="n">
        <v>10.133</v>
      </c>
      <c r="B1793" s="0" t="n">
        <v>35.119</v>
      </c>
      <c r="C1793" s="0" t="n">
        <v>19.241</v>
      </c>
      <c r="D1793" s="0" t="n">
        <v>12.808</v>
      </c>
      <c r="E1793" s="0" t="n">
        <v>27.92</v>
      </c>
      <c r="F1793" s="0" t="n">
        <v>0.2985</v>
      </c>
      <c r="G1793" s="12" t="n">
        <f aca="false">(A1793+(C1793*D1793*COS(RADIANS(E1793))^2-F1793*C1793*D1793)*TAN(RADIANS(B1793)))/(C1793*D1793*SIN(RADIANS(E1793))*COS(RADIANS(E1793)))</f>
        <v>0.919159466387814</v>
      </c>
    </row>
    <row r="1794" customFormat="false" ht="15" hidden="false" customHeight="false" outlineLevel="0" collapsed="false">
      <c r="A1794" s="0" t="n">
        <v>18.369</v>
      </c>
      <c r="B1794" s="0" t="n">
        <v>37.46</v>
      </c>
      <c r="C1794" s="0" t="n">
        <v>20.167</v>
      </c>
      <c r="D1794" s="0" t="n">
        <v>13.352</v>
      </c>
      <c r="E1794" s="0" t="n">
        <v>30.357</v>
      </c>
      <c r="F1794" s="0" t="n">
        <v>0.3019</v>
      </c>
      <c r="G1794" s="12" t="n">
        <f aca="false">(A1794+(C1794*D1794*COS(RADIANS(E1794))^2-F1794*C1794*D1794)*TAN(RADIANS(B1794)))/(C1794*D1794*SIN(RADIANS(E1794))*COS(RADIANS(E1794)))</f>
        <v>0.934226532105399</v>
      </c>
    </row>
    <row r="1795" customFormat="false" ht="15" hidden="false" customHeight="false" outlineLevel="0" collapsed="false">
      <c r="A1795" s="0" t="n">
        <v>11.329</v>
      </c>
      <c r="B1795" s="0" t="n">
        <v>37.998</v>
      </c>
      <c r="C1795" s="0" t="n">
        <v>21.053</v>
      </c>
      <c r="D1795" s="0" t="n">
        <v>13.8</v>
      </c>
      <c r="E1795" s="0" t="n">
        <v>28.179</v>
      </c>
      <c r="F1795" s="0" t="n">
        <v>0.1702</v>
      </c>
      <c r="G1795" s="12" t="n">
        <f aca="false">(A1795+(C1795*D1795*COS(RADIANS(E1795))^2-F1795*C1795*D1795)*TAN(RADIANS(B1795)))/(C1795*D1795*SIN(RADIANS(E1795))*COS(RADIANS(E1795)))</f>
        <v>1.23251741495613</v>
      </c>
    </row>
    <row r="1796" customFormat="false" ht="15" hidden="false" customHeight="false" outlineLevel="0" collapsed="false">
      <c r="A1796" s="0" t="n">
        <v>26.238</v>
      </c>
      <c r="B1796" s="0" t="n">
        <v>34.91</v>
      </c>
      <c r="C1796" s="0" t="n">
        <v>19.379</v>
      </c>
      <c r="D1796" s="0" t="n">
        <v>13.585</v>
      </c>
      <c r="E1796" s="0" t="n">
        <v>25.814</v>
      </c>
      <c r="F1796" s="0" t="n">
        <v>0.2555</v>
      </c>
      <c r="G1796" s="12" t="n">
        <f aca="false">(A1796+(C1796*D1796*COS(RADIANS(E1796))^2-F1796*C1796*D1796)*TAN(RADIANS(B1796)))/(C1796*D1796*SIN(RADIANS(E1796))*COS(RADIANS(E1796)))</f>
        <v>1.24209573920299</v>
      </c>
    </row>
    <row r="1797" customFormat="false" ht="15" hidden="false" customHeight="false" outlineLevel="0" collapsed="false">
      <c r="A1797" s="0" t="n">
        <v>13.194</v>
      </c>
      <c r="B1797" s="0" t="n">
        <v>33.856</v>
      </c>
      <c r="C1797" s="0" t="n">
        <v>19.329</v>
      </c>
      <c r="D1797" s="0" t="n">
        <v>19.526</v>
      </c>
      <c r="E1797" s="0" t="n">
        <v>25.871</v>
      </c>
      <c r="F1797" s="0" t="n">
        <v>0.1736</v>
      </c>
      <c r="G1797" s="12" t="n">
        <f aca="false">(A1797+(C1797*D1797*COS(RADIANS(E1797))^2-F1797*C1797*D1797)*TAN(RADIANS(B1797)))/(C1797*D1797*SIN(RADIANS(E1797))*COS(RADIANS(E1797)))</f>
        <v>1.17577061463718</v>
      </c>
    </row>
    <row r="1798" customFormat="false" ht="15" hidden="false" customHeight="false" outlineLevel="0" collapsed="false">
      <c r="A1798" s="0" t="n">
        <v>15.288</v>
      </c>
      <c r="B1798" s="0" t="n">
        <v>31.791</v>
      </c>
      <c r="C1798" s="0" t="n">
        <v>20.563</v>
      </c>
      <c r="D1798" s="0" t="n">
        <v>17.311</v>
      </c>
      <c r="E1798" s="0" t="n">
        <v>24.884</v>
      </c>
      <c r="F1798" s="0" t="n">
        <v>0.2598</v>
      </c>
      <c r="G1798" s="12" t="n">
        <f aca="false">(A1798+(C1798*D1798*COS(RADIANS(E1798))^2-F1798*C1798*D1798)*TAN(RADIANS(B1798)))/(C1798*D1798*SIN(RADIANS(E1798))*COS(RADIANS(E1798)))</f>
        <v>1.02690636404105</v>
      </c>
    </row>
    <row r="1799" customFormat="false" ht="15" hidden="false" customHeight="false" outlineLevel="0" collapsed="false">
      <c r="A1799" s="0" t="n">
        <v>9.819</v>
      </c>
      <c r="B1799" s="0" t="n">
        <v>35.514</v>
      </c>
      <c r="C1799" s="0" t="n">
        <v>20.787</v>
      </c>
      <c r="D1799" s="0" t="n">
        <v>12.322</v>
      </c>
      <c r="E1799" s="0" t="n">
        <v>32.045</v>
      </c>
      <c r="F1799" s="0" t="n">
        <v>0.0572</v>
      </c>
      <c r="G1799" s="12" t="n">
        <f aca="false">(A1799+(C1799*D1799*COS(RADIANS(E1799))^2-F1799*C1799*D1799)*TAN(RADIANS(B1799)))/(C1799*D1799*SIN(RADIANS(E1799))*COS(RADIANS(E1799)))</f>
        <v>1.13457523107776</v>
      </c>
    </row>
    <row r="1800" customFormat="false" ht="15" hidden="false" customHeight="false" outlineLevel="0" collapsed="false">
      <c r="A1800" s="0" t="n">
        <v>21.824</v>
      </c>
      <c r="B1800" s="0" t="n">
        <v>33.476</v>
      </c>
      <c r="C1800" s="0" t="n">
        <v>18.962</v>
      </c>
      <c r="D1800" s="0" t="n">
        <v>14.492</v>
      </c>
      <c r="E1800" s="0" t="n">
        <v>26.999</v>
      </c>
      <c r="F1800" s="0" t="n">
        <v>0.2416</v>
      </c>
      <c r="G1800" s="12" t="n">
        <f aca="false">(A1800+(C1800*D1800*COS(RADIANS(E1800))^2-F1800*C1800*D1800)*TAN(RADIANS(B1800)))/(C1800*D1800*SIN(RADIANS(E1800))*COS(RADIANS(E1800)))</f>
        <v>1.09926260739001</v>
      </c>
    </row>
    <row r="1801" customFormat="false" ht="15" hidden="false" customHeight="false" outlineLevel="0" collapsed="false">
      <c r="A1801" s="0" t="n">
        <v>19.478</v>
      </c>
      <c r="B1801" s="0" t="n">
        <v>29.588</v>
      </c>
      <c r="C1801" s="0" t="n">
        <v>19.688</v>
      </c>
      <c r="D1801" s="0" t="n">
        <v>17.068</v>
      </c>
      <c r="E1801" s="0" t="n">
        <v>26.616</v>
      </c>
      <c r="F1801" s="0" t="n">
        <v>0.031</v>
      </c>
      <c r="G1801" s="12" t="n">
        <f aca="false">(A1801+(C1801*D1801*COS(RADIANS(E1801))^2-F1801*C1801*D1801)*TAN(RADIANS(B1801)))/(C1801*D1801*SIN(RADIANS(E1801))*COS(RADIANS(E1801)))</f>
        <v>1.23385578139007</v>
      </c>
    </row>
    <row r="1802" customFormat="false" ht="15" hidden="false" customHeight="false" outlineLevel="0" collapsed="false">
      <c r="A1802" s="0" t="n">
        <v>16.188</v>
      </c>
      <c r="B1802" s="0" t="n">
        <v>34.532</v>
      </c>
      <c r="C1802" s="0" t="n">
        <v>21.526</v>
      </c>
      <c r="D1802" s="0" t="n">
        <v>16.159</v>
      </c>
      <c r="E1802" s="0" t="n">
        <v>30.194</v>
      </c>
      <c r="F1802" s="0" t="n">
        <v>0.1281</v>
      </c>
      <c r="G1802" s="12" t="n">
        <f aca="false">(A1802+(C1802*D1802*COS(RADIANS(E1802))^2-F1802*C1802*D1802)*TAN(RADIANS(B1802)))/(C1802*D1802*SIN(RADIANS(E1802))*COS(RADIANS(E1802)))</f>
        <v>1.0868493796072</v>
      </c>
    </row>
    <row r="1803" customFormat="false" ht="15" hidden="false" customHeight="false" outlineLevel="0" collapsed="false">
      <c r="A1803" s="0" t="n">
        <v>9.613</v>
      </c>
      <c r="B1803" s="0" t="n">
        <v>35.076</v>
      </c>
      <c r="C1803" s="0" t="n">
        <v>19.988</v>
      </c>
      <c r="D1803" s="0" t="n">
        <v>14.253</v>
      </c>
      <c r="E1803" s="0" t="n">
        <v>26.855</v>
      </c>
      <c r="F1803" s="0" t="n">
        <v>0.1478</v>
      </c>
      <c r="G1803" s="12" t="n">
        <f aca="false">(A1803+(C1803*D1803*COS(RADIANS(E1803))^2-F1803*C1803*D1803)*TAN(RADIANS(B1803)))/(C1803*D1803*SIN(RADIANS(E1803))*COS(RADIANS(E1803)))</f>
        <v>1.21299286456409</v>
      </c>
    </row>
    <row r="1804" customFormat="false" ht="15" hidden="false" customHeight="false" outlineLevel="0" collapsed="false">
      <c r="A1804" s="0" t="n">
        <v>15.843</v>
      </c>
      <c r="B1804" s="0" t="n">
        <v>37.315</v>
      </c>
      <c r="C1804" s="0" t="n">
        <v>20.553</v>
      </c>
      <c r="D1804" s="0" t="n">
        <v>20.043</v>
      </c>
      <c r="E1804" s="0" t="n">
        <v>29.181</v>
      </c>
      <c r="F1804" s="0" t="n">
        <v>0.089</v>
      </c>
      <c r="G1804" s="12" t="n">
        <f aca="false">(A1804+(C1804*D1804*COS(RADIANS(E1804))^2-F1804*C1804*D1804)*TAN(RADIANS(B1804)))/(C1804*D1804*SIN(RADIANS(E1804))*COS(RADIANS(E1804)))</f>
        <v>1.29586460791816</v>
      </c>
    </row>
    <row r="1805" customFormat="false" ht="15" hidden="false" customHeight="false" outlineLevel="0" collapsed="false">
      <c r="A1805" s="0" t="n">
        <v>10.514</v>
      </c>
      <c r="B1805" s="0" t="n">
        <v>34.84</v>
      </c>
      <c r="C1805" s="0" t="n">
        <v>20.177</v>
      </c>
      <c r="D1805" s="0" t="n">
        <v>13.328</v>
      </c>
      <c r="E1805" s="0" t="n">
        <v>27.492</v>
      </c>
      <c r="F1805" s="0" t="n">
        <v>0.0742</v>
      </c>
      <c r="G1805" s="12" t="n">
        <f aca="false">(A1805+(C1805*D1805*COS(RADIANS(E1805))^2-F1805*C1805*D1805)*TAN(RADIANS(B1805)))/(C1805*D1805*SIN(RADIANS(E1805))*COS(RADIANS(E1805)))</f>
        <v>1.30691590386985</v>
      </c>
    </row>
    <row r="1806" customFormat="false" ht="15" hidden="false" customHeight="false" outlineLevel="0" collapsed="false">
      <c r="A1806" s="0" t="n">
        <v>20.849</v>
      </c>
      <c r="B1806" s="0" t="n">
        <v>31.813</v>
      </c>
      <c r="C1806" s="0" t="n">
        <v>21.077</v>
      </c>
      <c r="D1806" s="0" t="n">
        <v>13.162</v>
      </c>
      <c r="E1806" s="0" t="n">
        <v>27.194</v>
      </c>
      <c r="F1806" s="0" t="n">
        <v>0.2276</v>
      </c>
      <c r="G1806" s="12" t="n">
        <f aca="false">(A1806+(C1806*D1806*COS(RADIANS(E1806))^2-F1806*C1806*D1806)*TAN(RADIANS(B1806)))/(C1806*D1806*SIN(RADIANS(E1806))*COS(RADIANS(E1806)))</f>
        <v>1.04491080994028</v>
      </c>
    </row>
    <row r="1807" customFormat="false" ht="15" hidden="false" customHeight="false" outlineLevel="0" collapsed="false">
      <c r="A1807" s="0" t="n">
        <v>18.237</v>
      </c>
      <c r="B1807" s="0" t="n">
        <v>37.965</v>
      </c>
      <c r="C1807" s="0" t="n">
        <v>19.384</v>
      </c>
      <c r="D1807" s="0" t="n">
        <v>9.587</v>
      </c>
      <c r="E1807" s="0" t="n">
        <v>27.304</v>
      </c>
      <c r="F1807" s="0" t="n">
        <v>0.1225</v>
      </c>
      <c r="G1807" s="12" t="n">
        <f aca="false">(A1807+(C1807*D1807*COS(RADIANS(E1807))^2-F1807*C1807*D1807)*TAN(RADIANS(B1807)))/(C1807*D1807*SIN(RADIANS(E1807))*COS(RADIANS(E1807)))</f>
        <v>1.51780210575413</v>
      </c>
    </row>
    <row r="1808" customFormat="false" ht="15" hidden="false" customHeight="false" outlineLevel="0" collapsed="false">
      <c r="A1808" s="0" t="n">
        <v>15.382</v>
      </c>
      <c r="B1808" s="0" t="n">
        <v>28.661</v>
      </c>
      <c r="C1808" s="0" t="n">
        <v>21.472</v>
      </c>
      <c r="D1808" s="0" t="n">
        <v>12.038</v>
      </c>
      <c r="E1808" s="0" t="n">
        <v>23.681</v>
      </c>
      <c r="F1808" s="0" t="n">
        <v>0.0957</v>
      </c>
      <c r="G1808" s="12" t="n">
        <f aca="false">(A1808+(C1808*D1808*COS(RADIANS(E1808))^2-F1808*C1808*D1808)*TAN(RADIANS(B1808)))/(C1808*D1808*SIN(RADIANS(E1808))*COS(RADIANS(E1808)))</f>
        <v>1.26588571158027</v>
      </c>
    </row>
    <row r="1809" customFormat="false" ht="15" hidden="false" customHeight="false" outlineLevel="0" collapsed="false">
      <c r="A1809" s="0" t="n">
        <v>5.254</v>
      </c>
      <c r="B1809" s="0" t="n">
        <v>30.279</v>
      </c>
      <c r="C1809" s="0" t="n">
        <v>19.228</v>
      </c>
      <c r="D1809" s="0" t="n">
        <v>12.368</v>
      </c>
      <c r="E1809" s="0" t="n">
        <v>26.108</v>
      </c>
      <c r="F1809" s="0" t="n">
        <v>0.1437</v>
      </c>
      <c r="G1809" s="12" t="n">
        <f aca="false">(A1809+(C1809*D1809*COS(RADIANS(E1809))^2-F1809*C1809*D1809)*TAN(RADIANS(B1809)))/(C1809*D1809*SIN(RADIANS(E1809))*COS(RADIANS(E1809)))</f>
        <v>1.03497721253532</v>
      </c>
    </row>
    <row r="1810" customFormat="false" ht="15" hidden="false" customHeight="false" outlineLevel="0" collapsed="false">
      <c r="A1810" s="0" t="n">
        <v>11.066</v>
      </c>
      <c r="B1810" s="0" t="n">
        <v>34.092</v>
      </c>
      <c r="C1810" s="0" t="n">
        <v>21.37</v>
      </c>
      <c r="D1810" s="0" t="n">
        <v>13.595</v>
      </c>
      <c r="E1810" s="0" t="n">
        <v>30.065</v>
      </c>
      <c r="F1810" s="0" t="n">
        <v>0.3159</v>
      </c>
      <c r="G1810" s="12" t="n">
        <f aca="false">(A1810+(C1810*D1810*COS(RADIANS(E1810))^2-F1810*C1810*D1810)*TAN(RADIANS(B1810)))/(C1810*D1810*SIN(RADIANS(E1810))*COS(RADIANS(E1810)))</f>
        <v>0.763975588105263</v>
      </c>
    </row>
    <row r="1811" customFormat="false" ht="15" hidden="false" customHeight="false" outlineLevel="0" collapsed="false">
      <c r="A1811" s="0" t="n">
        <v>17.751</v>
      </c>
      <c r="B1811" s="0" t="n">
        <v>33.927</v>
      </c>
      <c r="C1811" s="0" t="n">
        <v>20.607</v>
      </c>
      <c r="D1811" s="0" t="n">
        <v>10.908</v>
      </c>
      <c r="E1811" s="0" t="n">
        <v>31.381</v>
      </c>
      <c r="F1811" s="0" t="n">
        <v>0.1877</v>
      </c>
      <c r="G1811" s="12" t="n">
        <f aca="false">(A1811+(C1811*D1811*COS(RADIANS(E1811))^2-F1811*C1811*D1811)*TAN(RADIANS(B1811)))/(C1811*D1811*SIN(RADIANS(E1811))*COS(RADIANS(E1811)))</f>
        <v>0.996440241720875</v>
      </c>
    </row>
    <row r="1812" customFormat="false" ht="15" hidden="false" customHeight="false" outlineLevel="0" collapsed="false">
      <c r="A1812" s="0" t="n">
        <v>19.852</v>
      </c>
      <c r="B1812" s="0" t="n">
        <v>34.112</v>
      </c>
      <c r="C1812" s="0" t="n">
        <v>20.142</v>
      </c>
      <c r="D1812" s="0" t="n">
        <v>19.859</v>
      </c>
      <c r="E1812" s="0" t="n">
        <v>27.947</v>
      </c>
      <c r="F1812" s="0" t="n">
        <v>0.2193</v>
      </c>
      <c r="G1812" s="12" t="n">
        <f aca="false">(A1812+(C1812*D1812*COS(RADIANS(E1812))^2-F1812*C1812*D1812)*TAN(RADIANS(B1812)))/(C1812*D1812*SIN(RADIANS(E1812))*COS(RADIANS(E1812)))</f>
        <v>1.0378470293378</v>
      </c>
    </row>
    <row r="1813" customFormat="false" ht="15" hidden="false" customHeight="false" outlineLevel="0" collapsed="false">
      <c r="A1813" s="0" t="n">
        <v>19.437</v>
      </c>
      <c r="B1813" s="0" t="n">
        <v>32.329</v>
      </c>
      <c r="C1813" s="0" t="n">
        <v>19.442</v>
      </c>
      <c r="D1813" s="0" t="n">
        <v>12.189</v>
      </c>
      <c r="E1813" s="0" t="n">
        <v>28.984</v>
      </c>
      <c r="F1813" s="0" t="n">
        <v>0.2481</v>
      </c>
      <c r="G1813" s="12" t="n">
        <f aca="false">(A1813+(C1813*D1813*COS(RADIANS(E1813))^2-F1813*C1813*D1813)*TAN(RADIANS(B1813)))/(C1813*D1813*SIN(RADIANS(E1813))*COS(RADIANS(E1813)))</f>
        <v>0.965568483540721</v>
      </c>
    </row>
    <row r="1814" customFormat="false" ht="15" hidden="false" customHeight="false" outlineLevel="0" collapsed="false">
      <c r="A1814" s="0" t="n">
        <v>8.632</v>
      </c>
      <c r="B1814" s="0" t="n">
        <v>37.656</v>
      </c>
      <c r="C1814" s="0" t="n">
        <v>19.517</v>
      </c>
      <c r="D1814" s="0" t="n">
        <v>14.466</v>
      </c>
      <c r="E1814" s="0" t="n">
        <v>33.155</v>
      </c>
      <c r="F1814" s="0" t="n">
        <v>0.1448</v>
      </c>
      <c r="G1814" s="12" t="n">
        <f aca="false">(A1814+(C1814*D1814*COS(RADIANS(E1814))^2-F1814*C1814*D1814)*TAN(RADIANS(B1814)))/(C1814*D1814*SIN(RADIANS(E1814))*COS(RADIANS(E1814)))</f>
        <v>1.00398367685048</v>
      </c>
    </row>
    <row r="1815" customFormat="false" ht="15" hidden="false" customHeight="false" outlineLevel="0" collapsed="false">
      <c r="A1815" s="0" t="n">
        <v>16.206</v>
      </c>
      <c r="B1815" s="0" t="n">
        <v>34.197</v>
      </c>
      <c r="C1815" s="0" t="n">
        <v>19.086</v>
      </c>
      <c r="D1815" s="0" t="n">
        <v>15.901</v>
      </c>
      <c r="E1815" s="0" t="n">
        <v>30.301</v>
      </c>
      <c r="F1815" s="0" t="n">
        <v>0.1185</v>
      </c>
      <c r="G1815" s="12" t="n">
        <f aca="false">(A1815+(C1815*D1815*COS(RADIANS(E1815))^2-F1815*C1815*D1815)*TAN(RADIANS(B1815)))/(C1815*D1815*SIN(RADIANS(E1815))*COS(RADIANS(E1815)))</f>
        <v>1.10055123824433</v>
      </c>
    </row>
    <row r="1816" customFormat="false" ht="15" hidden="false" customHeight="false" outlineLevel="0" collapsed="false">
      <c r="A1816" s="0" t="n">
        <v>19.062</v>
      </c>
      <c r="B1816" s="0" t="n">
        <v>30.666</v>
      </c>
      <c r="C1816" s="0" t="n">
        <v>20.501</v>
      </c>
      <c r="D1816" s="0" t="n">
        <v>12.681</v>
      </c>
      <c r="E1816" s="0" t="n">
        <v>30.492</v>
      </c>
      <c r="F1816" s="0" t="n">
        <v>0.0775</v>
      </c>
      <c r="G1816" s="12" t="n">
        <f aca="false">(A1816+(C1816*D1816*COS(RADIANS(E1816))^2-F1816*C1816*D1816)*TAN(RADIANS(B1816)))/(C1816*D1816*SIN(RADIANS(E1816))*COS(RADIANS(E1816)))</f>
        <v>1.06955257954855</v>
      </c>
    </row>
    <row r="1817" customFormat="false" ht="15" hidden="false" customHeight="false" outlineLevel="0" collapsed="false">
      <c r="A1817" s="0" t="n">
        <v>8.367</v>
      </c>
      <c r="B1817" s="0" t="n">
        <v>35.887</v>
      </c>
      <c r="C1817" s="0" t="n">
        <v>19.991</v>
      </c>
      <c r="D1817" s="0" t="n">
        <v>20.027</v>
      </c>
      <c r="E1817" s="0" t="n">
        <v>27.719</v>
      </c>
      <c r="F1817" s="0" t="n">
        <v>0.1678</v>
      </c>
      <c r="G1817" s="12" t="n">
        <f aca="false">(A1817+(C1817*D1817*COS(RADIANS(E1817))^2-F1817*C1817*D1817)*TAN(RADIANS(B1817)))/(C1817*D1817*SIN(RADIANS(E1817))*COS(RADIANS(E1817)))</f>
        <v>1.13291744452168</v>
      </c>
    </row>
    <row r="1818" customFormat="false" ht="15" hidden="false" customHeight="false" outlineLevel="0" collapsed="false">
      <c r="A1818" s="0" t="n">
        <v>14.968</v>
      </c>
      <c r="B1818" s="0" t="n">
        <v>32.408</v>
      </c>
      <c r="C1818" s="0" t="n">
        <v>19.216</v>
      </c>
      <c r="D1818" s="0" t="n">
        <v>14.749</v>
      </c>
      <c r="E1818" s="0" t="n">
        <v>30.213</v>
      </c>
      <c r="F1818" s="0" t="n">
        <v>0.161</v>
      </c>
      <c r="G1818" s="12" t="n">
        <f aca="false">(A1818+(C1818*D1818*COS(RADIANS(E1818))^2-F1818*C1818*D1818)*TAN(RADIANS(B1818)))/(C1818*D1818*SIN(RADIANS(E1818))*COS(RADIANS(E1818)))</f>
        <v>0.976569845511569</v>
      </c>
    </row>
    <row r="1819" customFormat="false" ht="15" hidden="false" customHeight="false" outlineLevel="0" collapsed="false">
      <c r="A1819" s="0" t="n">
        <v>16.095</v>
      </c>
      <c r="B1819" s="0" t="n">
        <v>31.898</v>
      </c>
      <c r="C1819" s="0" t="n">
        <v>19.892</v>
      </c>
      <c r="D1819" s="0" t="n">
        <v>15.666</v>
      </c>
      <c r="E1819" s="0" t="n">
        <v>27.837</v>
      </c>
      <c r="F1819" s="0" t="n">
        <v>0.1536</v>
      </c>
      <c r="G1819" s="12" t="n">
        <f aca="false">(A1819+(C1819*D1819*COS(RADIANS(E1819))^2-F1819*C1819*D1819)*TAN(RADIANS(B1819)))/(C1819*D1819*SIN(RADIANS(E1819))*COS(RADIANS(E1819)))</f>
        <v>1.07219325463406</v>
      </c>
    </row>
    <row r="1820" customFormat="false" ht="15" hidden="false" customHeight="false" outlineLevel="0" collapsed="false">
      <c r="A1820" s="0" t="n">
        <v>13.797</v>
      </c>
      <c r="B1820" s="0" t="n">
        <v>34.482</v>
      </c>
      <c r="C1820" s="0" t="n">
        <v>21.072</v>
      </c>
      <c r="D1820" s="0" t="n">
        <v>11.504</v>
      </c>
      <c r="E1820" s="0" t="n">
        <v>30.539</v>
      </c>
      <c r="F1820" s="0" t="n">
        <v>0.1953</v>
      </c>
      <c r="G1820" s="12" t="n">
        <f aca="false">(A1820+(C1820*D1820*COS(RADIANS(E1820))^2-F1820*C1820*D1820)*TAN(RADIANS(B1820)))/(C1820*D1820*SIN(RADIANS(E1820))*COS(RADIANS(E1820)))</f>
        <v>0.987726541322611</v>
      </c>
    </row>
    <row r="1821" customFormat="false" ht="15" hidden="false" customHeight="false" outlineLevel="0" collapsed="false">
      <c r="A1821" s="0" t="n">
        <v>7.591</v>
      </c>
      <c r="B1821" s="0" t="n">
        <v>39.563</v>
      </c>
      <c r="C1821" s="0" t="n">
        <v>19.242</v>
      </c>
      <c r="D1821" s="0" t="n">
        <v>23.317</v>
      </c>
      <c r="E1821" s="0" t="n">
        <v>28.35</v>
      </c>
      <c r="F1821" s="0" t="n">
        <v>0.2286</v>
      </c>
      <c r="G1821" s="12" t="n">
        <f aca="false">(A1821+(C1821*D1821*COS(RADIANS(E1821))^2-F1821*C1821*D1821)*TAN(RADIANS(B1821)))/(C1821*D1821*SIN(RADIANS(E1821))*COS(RADIANS(E1821)))</f>
        <v>1.11973831848523</v>
      </c>
    </row>
    <row r="1822" customFormat="false" ht="15" hidden="false" customHeight="false" outlineLevel="0" collapsed="false">
      <c r="A1822" s="0" t="n">
        <v>13.697</v>
      </c>
      <c r="B1822" s="0" t="n">
        <v>28.224</v>
      </c>
      <c r="C1822" s="0" t="n">
        <v>21.857</v>
      </c>
      <c r="D1822" s="0" t="n">
        <v>24.388</v>
      </c>
      <c r="E1822" s="0" t="n">
        <v>28.351</v>
      </c>
      <c r="F1822" s="0" t="n">
        <v>0.0059</v>
      </c>
      <c r="G1822" s="12" t="n">
        <f aca="false">(A1822+(C1822*D1822*COS(RADIANS(E1822))^2-F1822*C1822*D1822)*TAN(RADIANS(B1822)))/(C1822*D1822*SIN(RADIANS(E1822))*COS(RADIANS(E1822)))</f>
        <v>1.04861041846196</v>
      </c>
    </row>
    <row r="1823" customFormat="false" ht="15" hidden="false" customHeight="false" outlineLevel="0" collapsed="false">
      <c r="A1823" s="0" t="n">
        <v>13.691</v>
      </c>
      <c r="B1823" s="0" t="n">
        <v>29.786</v>
      </c>
      <c r="C1823" s="0" t="n">
        <v>20.071</v>
      </c>
      <c r="D1823" s="0" t="n">
        <v>11.393</v>
      </c>
      <c r="E1823" s="0" t="n">
        <v>28.855</v>
      </c>
      <c r="F1823" s="0" t="n">
        <v>0.032</v>
      </c>
      <c r="G1823" s="12" t="n">
        <f aca="false">(A1823+(C1823*D1823*COS(RADIANS(E1823))^2-F1823*C1823*D1823)*TAN(RADIANS(B1823)))/(C1823*D1823*SIN(RADIANS(E1823))*COS(RADIANS(E1823)))</f>
        <v>1.13711083300744</v>
      </c>
    </row>
    <row r="1824" customFormat="false" ht="15" hidden="false" customHeight="false" outlineLevel="0" collapsed="false">
      <c r="A1824" s="0" t="n">
        <v>14.408</v>
      </c>
      <c r="B1824" s="0" t="n">
        <v>31.968</v>
      </c>
      <c r="C1824" s="0" t="n">
        <v>17.566</v>
      </c>
      <c r="D1824" s="0" t="n">
        <v>16.735</v>
      </c>
      <c r="E1824" s="0" t="n">
        <v>24.385</v>
      </c>
      <c r="F1824" s="0" t="n">
        <v>0.1701</v>
      </c>
      <c r="G1824" s="12" t="n">
        <f aca="false">(A1824+(C1824*D1824*COS(RADIANS(E1824))^2-F1824*C1824*D1824)*TAN(RADIANS(B1824)))/(C1824*D1824*SIN(RADIANS(E1824))*COS(RADIANS(E1824)))</f>
        <v>1.22479372787326</v>
      </c>
    </row>
    <row r="1825" customFormat="false" ht="15" hidden="false" customHeight="false" outlineLevel="0" collapsed="false">
      <c r="A1825" s="0" t="n">
        <v>12.746</v>
      </c>
      <c r="B1825" s="0" t="n">
        <v>39.678</v>
      </c>
      <c r="C1825" s="0" t="n">
        <v>21.44</v>
      </c>
      <c r="D1825" s="0" t="n">
        <v>10.406</v>
      </c>
      <c r="E1825" s="0" t="n">
        <v>28.646</v>
      </c>
      <c r="F1825" s="0" t="n">
        <v>0</v>
      </c>
      <c r="G1825" s="12" t="n">
        <f aca="false">(A1825+(C1825*D1825*COS(RADIANS(E1825))^2-F1825*C1825*D1825)*TAN(RADIANS(B1825)))/(C1825*D1825*SIN(RADIANS(E1825))*COS(RADIANS(E1825)))</f>
        <v>1.65442442123997</v>
      </c>
    </row>
    <row r="1826" customFormat="false" ht="15" hidden="false" customHeight="false" outlineLevel="0" collapsed="false">
      <c r="A1826" s="0" t="n">
        <v>13.228</v>
      </c>
      <c r="B1826" s="0" t="n">
        <v>31.324</v>
      </c>
      <c r="C1826" s="0" t="n">
        <v>19.43</v>
      </c>
      <c r="D1826" s="0" t="n">
        <v>17.1</v>
      </c>
      <c r="E1826" s="0" t="n">
        <v>30.304</v>
      </c>
      <c r="F1826" s="0" t="n">
        <v>0.1152</v>
      </c>
      <c r="G1826" s="12" t="n">
        <f aca="false">(A1826+(C1826*D1826*COS(RADIANS(E1826))^2-F1826*C1826*D1826)*TAN(RADIANS(B1826)))/(C1826*D1826*SIN(RADIANS(E1826))*COS(RADIANS(E1826)))</f>
        <v>0.971755831677166</v>
      </c>
    </row>
    <row r="1827" customFormat="false" ht="15" hidden="false" customHeight="false" outlineLevel="0" collapsed="false">
      <c r="A1827" s="0" t="n">
        <v>14.841</v>
      </c>
      <c r="B1827" s="0" t="n">
        <v>37.764</v>
      </c>
      <c r="C1827" s="0" t="n">
        <v>18.693</v>
      </c>
      <c r="D1827" s="0" t="n">
        <v>12.187</v>
      </c>
      <c r="E1827" s="0" t="n">
        <v>29.254</v>
      </c>
      <c r="F1827" s="0" t="n">
        <v>0.0557</v>
      </c>
      <c r="G1827" s="12" t="n">
        <f aca="false">(A1827+(C1827*D1827*COS(RADIANS(E1827))^2-F1827*C1827*D1827)*TAN(RADIANS(B1827)))/(C1827*D1827*SIN(RADIANS(E1827))*COS(RADIANS(E1827)))</f>
        <v>1.43464488816682</v>
      </c>
    </row>
    <row r="1828" customFormat="false" ht="15" hidden="false" customHeight="false" outlineLevel="0" collapsed="false">
      <c r="A1828" s="0" t="n">
        <v>16.77</v>
      </c>
      <c r="B1828" s="0" t="n">
        <v>37.245</v>
      </c>
      <c r="C1828" s="0" t="n">
        <v>18.492</v>
      </c>
      <c r="D1828" s="0" t="n">
        <v>15.789</v>
      </c>
      <c r="E1828" s="0" t="n">
        <v>25.512</v>
      </c>
      <c r="F1828" s="0" t="n">
        <v>0.2265</v>
      </c>
      <c r="G1828" s="12" t="n">
        <f aca="false">(A1828+(C1828*D1828*COS(RADIANS(E1828))^2-F1828*C1828*D1828)*TAN(RADIANS(B1828)))/(C1828*D1828*SIN(RADIANS(E1828))*COS(RADIANS(E1828)))</f>
        <v>1.29784883437203</v>
      </c>
    </row>
    <row r="1829" customFormat="false" ht="15" hidden="false" customHeight="false" outlineLevel="0" collapsed="false">
      <c r="A1829" s="0" t="n">
        <v>13.782</v>
      </c>
      <c r="B1829" s="0" t="n">
        <v>37.998</v>
      </c>
      <c r="C1829" s="0" t="n">
        <v>18.686</v>
      </c>
      <c r="D1829" s="0" t="n">
        <v>13.347</v>
      </c>
      <c r="E1829" s="0" t="n">
        <v>27.916</v>
      </c>
      <c r="F1829" s="0" t="n">
        <v>0.1802</v>
      </c>
      <c r="G1829" s="12" t="n">
        <f aca="false">(A1829+(C1829*D1829*COS(RADIANS(E1829))^2-F1829*C1829*D1829)*TAN(RADIANS(B1829)))/(C1829*D1829*SIN(RADIANS(E1829))*COS(RADIANS(E1829)))</f>
        <v>1.26777488730819</v>
      </c>
    </row>
    <row r="1830" customFormat="false" ht="15" hidden="false" customHeight="false" outlineLevel="0" collapsed="false">
      <c r="A1830" s="0" t="n">
        <v>13.361</v>
      </c>
      <c r="B1830" s="0" t="n">
        <v>31.901</v>
      </c>
      <c r="C1830" s="0" t="n">
        <v>19.119</v>
      </c>
      <c r="D1830" s="0" t="n">
        <v>11.266</v>
      </c>
      <c r="E1830" s="0" t="n">
        <v>31.783</v>
      </c>
      <c r="F1830" s="0" t="n">
        <v>0.1997</v>
      </c>
      <c r="G1830" s="12" t="n">
        <f aca="false">(A1830+(C1830*D1830*COS(RADIANS(E1830))^2-F1830*C1830*D1830)*TAN(RADIANS(B1830)))/(C1830*D1830*SIN(RADIANS(E1830))*COS(RADIANS(E1830)))</f>
        <v>0.865509311657777</v>
      </c>
    </row>
    <row r="1831" customFormat="false" ht="15" hidden="false" customHeight="false" outlineLevel="0" collapsed="false">
      <c r="A1831" s="0" t="n">
        <v>15.369</v>
      </c>
      <c r="B1831" s="0" t="n">
        <v>34.914</v>
      </c>
      <c r="C1831" s="0" t="n">
        <v>21.285</v>
      </c>
      <c r="D1831" s="0" t="n">
        <v>21.783</v>
      </c>
      <c r="E1831" s="0" t="n">
        <v>29.576</v>
      </c>
      <c r="F1831" s="0" t="n">
        <v>0.1907</v>
      </c>
      <c r="G1831" s="12" t="n">
        <f aca="false">(A1831+(C1831*D1831*COS(RADIANS(E1831))^2-F1831*C1831*D1831)*TAN(RADIANS(B1831)))/(C1831*D1831*SIN(RADIANS(E1831))*COS(RADIANS(E1831)))</f>
        <v>0.997000939812332</v>
      </c>
    </row>
    <row r="1832" customFormat="false" ht="15" hidden="false" customHeight="false" outlineLevel="0" collapsed="false">
      <c r="A1832" s="0" t="n">
        <v>7.316</v>
      </c>
      <c r="B1832" s="0" t="n">
        <v>36.741</v>
      </c>
      <c r="C1832" s="0" t="n">
        <v>17.41</v>
      </c>
      <c r="D1832" s="0" t="n">
        <v>15.915</v>
      </c>
      <c r="E1832" s="0" t="n">
        <v>27.991</v>
      </c>
      <c r="F1832" s="0" t="n">
        <v>0.3342</v>
      </c>
      <c r="G1832" s="12" t="n">
        <f aca="false">(A1832+(C1832*D1832*COS(RADIANS(E1832))^2-F1832*C1832*D1832)*TAN(RADIANS(B1832)))/(C1832*D1832*SIN(RADIANS(E1832))*COS(RADIANS(E1832)))</f>
        <v>0.866212999249699</v>
      </c>
    </row>
    <row r="1833" customFormat="false" ht="15" hidden="false" customHeight="false" outlineLevel="0" collapsed="false">
      <c r="A1833" s="0" t="n">
        <v>16.908</v>
      </c>
      <c r="B1833" s="0" t="n">
        <v>35.819</v>
      </c>
      <c r="C1833" s="0" t="n">
        <v>19.26</v>
      </c>
      <c r="D1833" s="0" t="n">
        <v>17.375</v>
      </c>
      <c r="E1833" s="0" t="n">
        <v>26.382</v>
      </c>
      <c r="F1833" s="0" t="n">
        <v>0.3305</v>
      </c>
      <c r="G1833" s="12" t="n">
        <f aca="false">(A1833+(C1833*D1833*COS(RADIANS(E1833))^2-F1833*C1833*D1833)*TAN(RADIANS(B1833)))/(C1833*D1833*SIN(RADIANS(E1833))*COS(RADIANS(E1833)))</f>
        <v>0.982771200472506</v>
      </c>
    </row>
    <row r="1834" customFormat="false" ht="15" hidden="false" customHeight="false" outlineLevel="0" collapsed="false">
      <c r="A1834" s="0" t="n">
        <v>14.998</v>
      </c>
      <c r="B1834" s="0" t="n">
        <v>43.157</v>
      </c>
      <c r="C1834" s="0" t="n">
        <v>23.29</v>
      </c>
      <c r="D1834" s="0" t="n">
        <v>13.028</v>
      </c>
      <c r="E1834" s="0" t="n">
        <v>25.035</v>
      </c>
      <c r="F1834" s="0" t="n">
        <v>0.1567</v>
      </c>
      <c r="G1834" s="12" t="n">
        <f aca="false">(A1834+(C1834*D1834*COS(RADIANS(E1834))^2-F1834*C1834*D1834)*TAN(RADIANS(B1834)))/(C1834*D1834*SIN(RADIANS(E1834))*COS(RADIANS(E1834)))</f>
        <v>1.75330163280348</v>
      </c>
    </row>
    <row r="1835" customFormat="false" ht="15" hidden="false" customHeight="false" outlineLevel="0" collapsed="false">
      <c r="A1835" s="0" t="n">
        <v>15.159</v>
      </c>
      <c r="B1835" s="0" t="n">
        <v>40.386</v>
      </c>
      <c r="C1835" s="0" t="n">
        <v>20.172</v>
      </c>
      <c r="D1835" s="0" t="n">
        <v>15.804</v>
      </c>
      <c r="E1835" s="0" t="n">
        <v>29.169</v>
      </c>
      <c r="F1835" s="0" t="n">
        <v>0.1636</v>
      </c>
      <c r="G1835" s="12" t="n">
        <f aca="false">(A1835+(C1835*D1835*COS(RADIANS(E1835))^2-F1835*C1835*D1835)*TAN(RADIANS(B1835)))/(C1835*D1835*SIN(RADIANS(E1835))*COS(RADIANS(E1835)))</f>
        <v>1.30871502839711</v>
      </c>
    </row>
    <row r="1836" customFormat="false" ht="15" hidden="false" customHeight="false" outlineLevel="0" collapsed="false">
      <c r="A1836" s="0" t="n">
        <v>18.843</v>
      </c>
      <c r="B1836" s="0" t="n">
        <v>38.184</v>
      </c>
      <c r="C1836" s="0" t="n">
        <v>19.741</v>
      </c>
      <c r="D1836" s="0" t="n">
        <v>14.012</v>
      </c>
      <c r="E1836" s="0" t="n">
        <v>27.49</v>
      </c>
      <c r="F1836" s="0" t="n">
        <v>0.1587</v>
      </c>
      <c r="G1836" s="12" t="n">
        <f aca="false">(A1836+(C1836*D1836*COS(RADIANS(E1836))^2-F1836*C1836*D1836)*TAN(RADIANS(B1836)))/(C1836*D1836*SIN(RADIANS(E1836))*COS(RADIANS(E1836)))</f>
        <v>1.37298959028362</v>
      </c>
    </row>
    <row r="1837" customFormat="false" ht="15" hidden="false" customHeight="false" outlineLevel="0" collapsed="false">
      <c r="A1837" s="0" t="n">
        <v>7.189</v>
      </c>
      <c r="B1837" s="0" t="n">
        <v>36.835</v>
      </c>
      <c r="C1837" s="0" t="n">
        <v>20.051</v>
      </c>
      <c r="D1837" s="0" t="n">
        <v>13.603</v>
      </c>
      <c r="E1837" s="0" t="n">
        <v>31.649</v>
      </c>
      <c r="F1837" s="0" t="n">
        <v>0.2395</v>
      </c>
      <c r="G1837" s="12" t="n">
        <f aca="false">(A1837+(C1837*D1837*COS(RADIANS(E1837))^2-F1837*C1837*D1837)*TAN(RADIANS(B1837)))/(C1837*D1837*SIN(RADIANS(E1837))*COS(RADIANS(E1837)))</f>
        <v>0.872613005437945</v>
      </c>
    </row>
    <row r="1838" customFormat="false" ht="15" hidden="false" customHeight="false" outlineLevel="0" collapsed="false">
      <c r="A1838" s="0" t="n">
        <v>7.105</v>
      </c>
      <c r="B1838" s="0" t="n">
        <v>37.068</v>
      </c>
      <c r="C1838" s="0" t="n">
        <v>21.445</v>
      </c>
      <c r="D1838" s="0" t="n">
        <v>8.768</v>
      </c>
      <c r="E1838" s="0" t="n">
        <v>27.472</v>
      </c>
      <c r="F1838" s="0" t="n">
        <v>0.1821</v>
      </c>
      <c r="G1838" s="12" t="n">
        <f aca="false">(A1838+(C1838*D1838*COS(RADIANS(E1838))^2-F1838*C1838*D1838)*TAN(RADIANS(B1838)))/(C1838*D1838*SIN(RADIANS(E1838))*COS(RADIANS(E1838)))</f>
        <v>1.20910266991637</v>
      </c>
    </row>
    <row r="1839" customFormat="false" ht="15" hidden="false" customHeight="false" outlineLevel="0" collapsed="false">
      <c r="A1839" s="0" t="n">
        <v>16.095</v>
      </c>
      <c r="B1839" s="0" t="n">
        <v>38.018</v>
      </c>
      <c r="C1839" s="0" t="n">
        <v>18.481</v>
      </c>
      <c r="D1839" s="0" t="n">
        <v>17.336</v>
      </c>
      <c r="E1839" s="0" t="n">
        <v>24.335</v>
      </c>
      <c r="F1839" s="0" t="n">
        <v>0.0309</v>
      </c>
      <c r="G1839" s="12" t="n">
        <f aca="false">(A1839+(C1839*D1839*COS(RADIANS(E1839))^2-F1839*C1839*D1839)*TAN(RADIANS(B1839)))/(C1839*D1839*SIN(RADIANS(E1839))*COS(RADIANS(E1839)))</f>
        <v>1.79811878170799</v>
      </c>
    </row>
    <row r="1840" customFormat="false" ht="15" hidden="false" customHeight="false" outlineLevel="0" collapsed="false">
      <c r="A1840" s="0" t="n">
        <v>14.972</v>
      </c>
      <c r="B1840" s="0" t="n">
        <v>40.069</v>
      </c>
      <c r="C1840" s="0" t="n">
        <v>21.494</v>
      </c>
      <c r="D1840" s="0" t="n">
        <v>15.825</v>
      </c>
      <c r="E1840" s="0" t="n">
        <v>27.508</v>
      </c>
      <c r="F1840" s="0" t="n">
        <v>0.0913</v>
      </c>
      <c r="G1840" s="12" t="n">
        <f aca="false">(A1840+(C1840*D1840*COS(RADIANS(E1840))^2-F1840*C1840*D1840)*TAN(RADIANS(B1840)))/(C1840*D1840*SIN(RADIANS(E1840))*COS(RADIANS(E1840)))</f>
        <v>1.53527132439437</v>
      </c>
    </row>
    <row r="1841" customFormat="false" ht="15" hidden="false" customHeight="false" outlineLevel="0" collapsed="false">
      <c r="A1841" s="0" t="n">
        <v>15.681</v>
      </c>
      <c r="B1841" s="0" t="n">
        <v>32.416</v>
      </c>
      <c r="C1841" s="0" t="n">
        <v>21.716</v>
      </c>
      <c r="D1841" s="0" t="n">
        <v>13.512</v>
      </c>
      <c r="E1841" s="0" t="n">
        <v>25.429</v>
      </c>
      <c r="F1841" s="0" t="n">
        <v>0.2313</v>
      </c>
      <c r="G1841" s="12" t="n">
        <f aca="false">(A1841+(C1841*D1841*COS(RADIANS(E1841))^2-F1841*C1841*D1841)*TAN(RADIANS(B1841)))/(C1841*D1841*SIN(RADIANS(E1841))*COS(RADIANS(E1841)))</f>
        <v>1.09463871025705</v>
      </c>
    </row>
    <row r="1842" customFormat="false" ht="15" hidden="false" customHeight="false" outlineLevel="0" collapsed="false">
      <c r="A1842" s="0" t="n">
        <v>13.151</v>
      </c>
      <c r="B1842" s="0" t="n">
        <v>38.363</v>
      </c>
      <c r="C1842" s="0" t="n">
        <v>19.558</v>
      </c>
      <c r="D1842" s="0" t="n">
        <v>15.837</v>
      </c>
      <c r="E1842" s="0" t="n">
        <v>27.013</v>
      </c>
      <c r="F1842" s="0" t="n">
        <v>0.1009</v>
      </c>
      <c r="G1842" s="12" t="n">
        <f aca="false">(A1842+(C1842*D1842*COS(RADIANS(E1842))^2-F1842*C1842*D1842)*TAN(RADIANS(B1842)))/(C1842*D1842*SIN(RADIANS(E1842))*COS(RADIANS(E1842)))</f>
        <v>1.46016489828013</v>
      </c>
    </row>
    <row r="1843" customFormat="false" ht="15" hidden="false" customHeight="false" outlineLevel="0" collapsed="false">
      <c r="A1843" s="0" t="n">
        <v>17.657</v>
      </c>
      <c r="B1843" s="0" t="n">
        <v>35.625</v>
      </c>
      <c r="C1843" s="0" t="n">
        <v>19.591</v>
      </c>
      <c r="D1843" s="0" t="n">
        <v>11.053</v>
      </c>
      <c r="E1843" s="0" t="n">
        <v>29.305</v>
      </c>
      <c r="F1843" s="0" t="n">
        <v>0.2594</v>
      </c>
      <c r="G1843" s="12" t="n">
        <f aca="false">(A1843+(C1843*D1843*COS(RADIANS(E1843))^2-F1843*C1843*D1843)*TAN(RADIANS(B1843)))/(C1843*D1843*SIN(RADIANS(E1843))*COS(RADIANS(E1843)))</f>
        <v>1.03222468244817</v>
      </c>
    </row>
    <row r="1844" customFormat="false" ht="15" hidden="false" customHeight="false" outlineLevel="0" collapsed="false">
      <c r="A1844" s="0" t="n">
        <v>18.731</v>
      </c>
      <c r="B1844" s="0" t="n">
        <v>37.99</v>
      </c>
      <c r="C1844" s="0" t="n">
        <v>21.898</v>
      </c>
      <c r="D1844" s="0" t="n">
        <v>9.942</v>
      </c>
      <c r="E1844" s="0" t="n">
        <v>27.847</v>
      </c>
      <c r="F1844" s="0" t="n">
        <v>0.128</v>
      </c>
      <c r="G1844" s="12" t="n">
        <f aca="false">(A1844+(C1844*D1844*COS(RADIANS(E1844))^2-F1844*C1844*D1844)*TAN(RADIANS(B1844)))/(C1844*D1844*SIN(RADIANS(E1844))*COS(RADIANS(E1844)))</f>
        <v>1.44463399547073</v>
      </c>
    </row>
    <row r="1845" customFormat="false" ht="15" hidden="false" customHeight="false" outlineLevel="0" collapsed="false">
      <c r="A1845" s="0" t="n">
        <v>16.936</v>
      </c>
      <c r="B1845" s="0" t="n">
        <v>35.109</v>
      </c>
      <c r="C1845" s="0" t="n">
        <v>21.933</v>
      </c>
      <c r="D1845" s="0" t="n">
        <v>13.975</v>
      </c>
      <c r="E1845" s="0" t="n">
        <v>27.72</v>
      </c>
      <c r="F1845" s="0" t="n">
        <v>0.1834</v>
      </c>
      <c r="G1845" s="12" t="n">
        <f aca="false">(A1845+(C1845*D1845*COS(RADIANS(E1845))^2-F1845*C1845*D1845)*TAN(RADIANS(B1845)))/(C1845*D1845*SIN(RADIANS(E1845))*COS(RADIANS(E1845)))</f>
        <v>1.15902243418799</v>
      </c>
    </row>
    <row r="1846" customFormat="false" ht="15" hidden="false" customHeight="false" outlineLevel="0" collapsed="false">
      <c r="A1846" s="0" t="n">
        <v>13.957</v>
      </c>
      <c r="B1846" s="0" t="n">
        <v>33.518</v>
      </c>
      <c r="C1846" s="0" t="n">
        <v>19.268</v>
      </c>
      <c r="D1846" s="0" t="n">
        <v>16.823</v>
      </c>
      <c r="E1846" s="0" t="n">
        <v>28.518</v>
      </c>
      <c r="F1846" s="0" t="n">
        <v>0.1717</v>
      </c>
      <c r="G1846" s="12" t="n">
        <f aca="false">(A1846+(C1846*D1846*COS(RADIANS(E1846))^2-F1846*C1846*D1846)*TAN(RADIANS(B1846)))/(C1846*D1846*SIN(RADIANS(E1846))*COS(RADIANS(E1846)))</f>
        <v>1.05051118927143</v>
      </c>
    </row>
    <row r="1847" customFormat="false" ht="15" hidden="false" customHeight="false" outlineLevel="0" collapsed="false">
      <c r="A1847" s="0" t="n">
        <v>6.569</v>
      </c>
      <c r="B1847" s="0" t="n">
        <v>33.569</v>
      </c>
      <c r="C1847" s="0" t="n">
        <v>18.365</v>
      </c>
      <c r="D1847" s="0" t="n">
        <v>14.724</v>
      </c>
      <c r="E1847" s="0" t="n">
        <v>31.531</v>
      </c>
      <c r="F1847" s="0" t="n">
        <v>0.0962</v>
      </c>
      <c r="G1847" s="12" t="n">
        <f aca="false">(A1847+(C1847*D1847*COS(RADIANS(E1847))^2-F1847*C1847*D1847)*TAN(RADIANS(B1847)))/(C1847*D1847*SIN(RADIANS(E1847))*COS(RADIANS(E1847)))</f>
        <v>0.992892916216966</v>
      </c>
    </row>
    <row r="1848" customFormat="false" ht="15" hidden="false" customHeight="false" outlineLevel="0" collapsed="false">
      <c r="A1848" s="0" t="n">
        <v>18.077</v>
      </c>
      <c r="B1848" s="0" t="n">
        <v>35.234</v>
      </c>
      <c r="C1848" s="0" t="n">
        <v>21.28</v>
      </c>
      <c r="D1848" s="0" t="n">
        <v>10.158</v>
      </c>
      <c r="E1848" s="0" t="n">
        <v>27.473</v>
      </c>
      <c r="F1848" s="0" t="n">
        <v>0.1871</v>
      </c>
      <c r="G1848" s="12" t="n">
        <f aca="false">(A1848+(C1848*D1848*COS(RADIANS(E1848))^2-F1848*C1848*D1848)*TAN(RADIANS(B1848)))/(C1848*D1848*SIN(RADIANS(E1848))*COS(RADIANS(E1848)))</f>
        <v>1.23982250782837</v>
      </c>
    </row>
    <row r="1849" customFormat="false" ht="15" hidden="false" customHeight="false" outlineLevel="0" collapsed="false">
      <c r="A1849" s="0" t="n">
        <v>19.887</v>
      </c>
      <c r="B1849" s="0" t="n">
        <v>36.471</v>
      </c>
      <c r="C1849" s="0" t="n">
        <v>17.479</v>
      </c>
      <c r="D1849" s="0" t="n">
        <v>14.38</v>
      </c>
      <c r="E1849" s="0" t="n">
        <v>29.264</v>
      </c>
      <c r="F1849" s="0" t="n">
        <v>0.0769</v>
      </c>
      <c r="G1849" s="12" t="n">
        <f aca="false">(A1849+(C1849*D1849*COS(RADIANS(E1849))^2-F1849*C1849*D1849)*TAN(RADIANS(B1849)))/(C1849*D1849*SIN(RADIANS(E1849))*COS(RADIANS(E1849)))</f>
        <v>1.3713834992124</v>
      </c>
    </row>
    <row r="1850" customFormat="false" ht="15" hidden="false" customHeight="false" outlineLevel="0" collapsed="false">
      <c r="A1850" s="0" t="n">
        <v>17.578</v>
      </c>
      <c r="B1850" s="0" t="n">
        <v>33.645</v>
      </c>
      <c r="C1850" s="0" t="n">
        <v>20.555</v>
      </c>
      <c r="D1850" s="0" t="n">
        <v>17.279</v>
      </c>
      <c r="E1850" s="0" t="n">
        <v>25.918</v>
      </c>
      <c r="F1850" s="0" t="n">
        <v>0.1336</v>
      </c>
      <c r="G1850" s="12" t="n">
        <f aca="false">(A1850+(C1850*D1850*COS(RADIANS(E1850))^2-F1850*C1850*D1850)*TAN(RADIANS(B1850)))/(C1850*D1850*SIN(RADIANS(E1850))*COS(RADIANS(E1850)))</f>
        <v>1.26923002077263</v>
      </c>
    </row>
    <row r="1851" customFormat="false" ht="15" hidden="false" customHeight="false" outlineLevel="0" collapsed="false">
      <c r="A1851" s="0" t="n">
        <v>11.481</v>
      </c>
      <c r="B1851" s="0" t="n">
        <v>30.517</v>
      </c>
      <c r="C1851" s="0" t="n">
        <v>18.539</v>
      </c>
      <c r="D1851" s="0" t="n">
        <v>17.496</v>
      </c>
      <c r="E1851" s="0" t="n">
        <v>27.513</v>
      </c>
      <c r="F1851" s="0" t="n">
        <v>0.1812</v>
      </c>
      <c r="G1851" s="12" t="n">
        <f aca="false">(A1851+(C1851*D1851*COS(RADIANS(E1851))^2-F1851*C1851*D1851)*TAN(RADIANS(B1851)))/(C1851*D1851*SIN(RADIANS(E1851))*COS(RADIANS(E1851)))</f>
        <v>0.957386861001023</v>
      </c>
    </row>
    <row r="1852" customFormat="false" ht="15" hidden="false" customHeight="false" outlineLevel="0" collapsed="false">
      <c r="A1852" s="0" t="n">
        <v>17.695</v>
      </c>
      <c r="B1852" s="0" t="n">
        <v>36.908</v>
      </c>
      <c r="C1852" s="0" t="n">
        <v>19.625</v>
      </c>
      <c r="D1852" s="0" t="n">
        <v>10.429</v>
      </c>
      <c r="E1852" s="0" t="n">
        <v>25.202</v>
      </c>
      <c r="F1852" s="0" t="n">
        <v>0.2333</v>
      </c>
      <c r="G1852" s="12" t="n">
        <f aca="false">(A1852+(C1852*D1852*COS(RADIANS(E1852))^2-F1852*C1852*D1852)*TAN(RADIANS(B1852)))/(C1852*D1852*SIN(RADIANS(E1852))*COS(RADIANS(E1852)))</f>
        <v>1.36551481449154</v>
      </c>
    </row>
    <row r="1853" customFormat="false" ht="15" hidden="false" customHeight="false" outlineLevel="0" collapsed="false">
      <c r="A1853" s="0" t="n">
        <v>18.442</v>
      </c>
      <c r="B1853" s="0" t="n">
        <v>34.567</v>
      </c>
      <c r="C1853" s="0" t="n">
        <v>19.428</v>
      </c>
      <c r="D1853" s="0" t="n">
        <v>15.047</v>
      </c>
      <c r="E1853" s="0" t="n">
        <v>27.496</v>
      </c>
      <c r="F1853" s="0" t="n">
        <v>0.3117</v>
      </c>
      <c r="G1853" s="12" t="n">
        <f aca="false">(A1853+(C1853*D1853*COS(RADIANS(E1853))^2-F1853*C1853*D1853)*TAN(RADIANS(B1853)))/(C1853*D1853*SIN(RADIANS(E1853))*COS(RADIANS(E1853)))</f>
        <v>0.953427067494419</v>
      </c>
    </row>
    <row r="1854" customFormat="false" ht="15" hidden="false" customHeight="false" outlineLevel="0" collapsed="false">
      <c r="A1854" s="0" t="n">
        <v>21.235</v>
      </c>
      <c r="B1854" s="0" t="n">
        <v>28.672</v>
      </c>
      <c r="C1854" s="0" t="n">
        <v>20.844</v>
      </c>
      <c r="D1854" s="0" t="n">
        <v>19.137</v>
      </c>
      <c r="E1854" s="0" t="n">
        <v>27.36</v>
      </c>
      <c r="F1854" s="0" t="n">
        <v>0.1055</v>
      </c>
      <c r="G1854" s="12" t="n">
        <f aca="false">(A1854+(C1854*D1854*COS(RADIANS(E1854))^2-F1854*C1854*D1854)*TAN(RADIANS(B1854)))/(C1854*D1854*SIN(RADIANS(E1854))*COS(RADIANS(E1854)))</f>
        <v>1.04586291114106</v>
      </c>
    </row>
    <row r="1855" customFormat="false" ht="15" hidden="false" customHeight="false" outlineLevel="0" collapsed="false">
      <c r="A1855" s="0" t="n">
        <v>11.496</v>
      </c>
      <c r="B1855" s="0" t="n">
        <v>30.106</v>
      </c>
      <c r="C1855" s="0" t="n">
        <v>20.076</v>
      </c>
      <c r="D1855" s="0" t="n">
        <v>14.8</v>
      </c>
      <c r="E1855" s="0" t="n">
        <v>27.207</v>
      </c>
      <c r="F1855" s="0" t="n">
        <v>0.1926</v>
      </c>
      <c r="G1855" s="12" t="n">
        <f aca="false">(A1855+(C1855*D1855*COS(RADIANS(E1855))^2-F1855*C1855*D1855)*TAN(RADIANS(B1855)))/(C1855*D1855*SIN(RADIANS(E1855))*COS(RADIANS(E1855)))</f>
        <v>0.948383064037622</v>
      </c>
    </row>
    <row r="1856" customFormat="false" ht="15" hidden="false" customHeight="false" outlineLevel="0" collapsed="false">
      <c r="A1856" s="0" t="n">
        <v>14.094</v>
      </c>
      <c r="B1856" s="0" t="n">
        <v>35.771</v>
      </c>
      <c r="C1856" s="0" t="n">
        <v>19.72</v>
      </c>
      <c r="D1856" s="0" t="n">
        <v>16.917</v>
      </c>
      <c r="E1856" s="0" t="n">
        <v>25.959</v>
      </c>
      <c r="F1856" s="0" t="n">
        <v>0.1546</v>
      </c>
      <c r="G1856" s="12" t="n">
        <f aca="false">(A1856+(C1856*D1856*COS(RADIANS(E1856))^2-F1856*C1856*D1856)*TAN(RADIANS(B1856)))/(C1856*D1856*SIN(RADIANS(E1856))*COS(RADIANS(E1856)))</f>
        <v>1.30417344286208</v>
      </c>
    </row>
    <row r="1857" customFormat="false" ht="15" hidden="false" customHeight="false" outlineLevel="0" collapsed="false">
      <c r="A1857" s="0" t="n">
        <v>17.989</v>
      </c>
      <c r="B1857" s="0" t="n">
        <v>36.885</v>
      </c>
      <c r="C1857" s="0" t="n">
        <v>20.171</v>
      </c>
      <c r="D1857" s="0" t="n">
        <v>12.523</v>
      </c>
      <c r="E1857" s="0" t="n">
        <v>27.845</v>
      </c>
      <c r="F1857" s="0" t="n">
        <v>0.083</v>
      </c>
      <c r="G1857" s="12" t="n">
        <f aca="false">(A1857+(C1857*D1857*COS(RADIANS(E1857))^2-F1857*C1857*D1857)*TAN(RADIANS(B1857)))/(C1857*D1857*SIN(RADIANS(E1857))*COS(RADIANS(E1857)))</f>
        <v>1.44220149005044</v>
      </c>
    </row>
    <row r="1858" customFormat="false" ht="15" hidden="false" customHeight="false" outlineLevel="0" collapsed="false">
      <c r="A1858" s="0" t="n">
        <v>15.23</v>
      </c>
      <c r="B1858" s="0" t="n">
        <v>38.266</v>
      </c>
      <c r="C1858" s="0" t="n">
        <v>21.943</v>
      </c>
      <c r="D1858" s="0" t="n">
        <v>11.978</v>
      </c>
      <c r="E1858" s="0" t="n">
        <v>25.151</v>
      </c>
      <c r="F1858" s="0" t="n">
        <v>0.2595</v>
      </c>
      <c r="G1858" s="12" t="n">
        <f aca="false">(A1858+(C1858*D1858*COS(RADIANS(E1858))^2-F1858*C1858*D1858)*TAN(RADIANS(B1858)))/(C1858*D1858*SIN(RADIANS(E1858))*COS(RADIANS(E1858)))</f>
        <v>1.2985473345173</v>
      </c>
    </row>
    <row r="1859" customFormat="false" ht="15" hidden="false" customHeight="false" outlineLevel="0" collapsed="false">
      <c r="A1859" s="0" t="n">
        <v>10.531</v>
      </c>
      <c r="B1859" s="0" t="n">
        <v>33.374</v>
      </c>
      <c r="C1859" s="0" t="n">
        <v>19.266</v>
      </c>
      <c r="D1859" s="0" t="n">
        <v>12.615</v>
      </c>
      <c r="E1859" s="0" t="n">
        <v>26.608</v>
      </c>
      <c r="F1859" s="0" t="n">
        <v>0.1823</v>
      </c>
      <c r="G1859" s="12" t="n">
        <f aca="false">(A1859+(C1859*D1859*COS(RADIANS(E1859))^2-F1859*C1859*D1859)*TAN(RADIANS(B1859)))/(C1859*D1859*SIN(RADIANS(E1859))*COS(RADIANS(E1859)))</f>
        <v>1.1233157496919</v>
      </c>
    </row>
    <row r="1860" customFormat="false" ht="15" hidden="false" customHeight="false" outlineLevel="0" collapsed="false">
      <c r="A1860" s="0" t="n">
        <v>16.658</v>
      </c>
      <c r="B1860" s="0" t="n">
        <v>33.005</v>
      </c>
      <c r="C1860" s="0" t="n">
        <v>20.963</v>
      </c>
      <c r="D1860" s="0" t="n">
        <v>15.041</v>
      </c>
      <c r="E1860" s="0" t="n">
        <v>25.549</v>
      </c>
      <c r="F1860" s="0" t="n">
        <v>0.2075</v>
      </c>
      <c r="G1860" s="12" t="n">
        <f aca="false">(A1860+(C1860*D1860*COS(RADIANS(E1860))^2-F1860*C1860*D1860)*TAN(RADIANS(B1860)))/(C1860*D1860*SIN(RADIANS(E1860))*COS(RADIANS(E1860)))</f>
        <v>1.14818059038405</v>
      </c>
    </row>
    <row r="1861" customFormat="false" ht="15" hidden="false" customHeight="false" outlineLevel="0" collapsed="false">
      <c r="A1861" s="0" t="n">
        <v>17.315</v>
      </c>
      <c r="B1861" s="0" t="n">
        <v>36.583</v>
      </c>
      <c r="C1861" s="0" t="n">
        <v>19.116</v>
      </c>
      <c r="D1861" s="0" t="n">
        <v>17.168</v>
      </c>
      <c r="E1861" s="0" t="n">
        <v>26.458</v>
      </c>
      <c r="F1861" s="0" t="n">
        <v>0.0599</v>
      </c>
      <c r="G1861" s="12" t="n">
        <f aca="false">(A1861+(C1861*D1861*COS(RADIANS(E1861))^2-F1861*C1861*D1861)*TAN(RADIANS(B1861)))/(C1861*D1861*SIN(RADIANS(E1861))*COS(RADIANS(E1861)))</f>
        <v>1.51218378997962</v>
      </c>
    </row>
    <row r="1862" customFormat="false" ht="15" hidden="false" customHeight="false" outlineLevel="0" collapsed="false">
      <c r="A1862" s="0" t="n">
        <v>15.352</v>
      </c>
      <c r="B1862" s="0" t="n">
        <v>32.359</v>
      </c>
      <c r="C1862" s="0" t="n">
        <v>19.654</v>
      </c>
      <c r="D1862" s="0" t="n">
        <v>14.009</v>
      </c>
      <c r="E1862" s="0" t="n">
        <v>28.858</v>
      </c>
      <c r="F1862" s="0" t="n">
        <v>0.1688</v>
      </c>
      <c r="G1862" s="12" t="n">
        <f aca="false">(A1862+(C1862*D1862*COS(RADIANS(E1862))^2-F1862*C1862*D1862)*TAN(RADIANS(B1862)))/(C1862*D1862*SIN(RADIANS(E1862))*COS(RADIANS(E1862)))</f>
        <v>1.02866857639586</v>
      </c>
    </row>
    <row r="1863" customFormat="false" ht="15" hidden="false" customHeight="false" outlineLevel="0" collapsed="false">
      <c r="A1863" s="0" t="n">
        <v>15.878</v>
      </c>
      <c r="B1863" s="0" t="n">
        <v>32.458</v>
      </c>
      <c r="C1863" s="0" t="n">
        <v>19.056</v>
      </c>
      <c r="D1863" s="0" t="n">
        <v>15.237</v>
      </c>
      <c r="E1863" s="0" t="n">
        <v>24.432</v>
      </c>
      <c r="F1863" s="0" t="n">
        <v>0.1717</v>
      </c>
      <c r="G1863" s="12" t="n">
        <f aca="false">(A1863+(C1863*D1863*COS(RADIANS(E1863))^2-F1863*C1863*D1863)*TAN(RADIANS(B1863)))/(C1863*D1863*SIN(RADIANS(E1863))*COS(RADIANS(E1863)))</f>
        <v>1.25527580098569</v>
      </c>
    </row>
    <row r="1864" customFormat="false" ht="15" hidden="false" customHeight="false" outlineLevel="0" collapsed="false">
      <c r="A1864" s="0" t="n">
        <v>13.965</v>
      </c>
      <c r="B1864" s="0" t="n">
        <v>35.503</v>
      </c>
      <c r="C1864" s="0" t="n">
        <v>20.1</v>
      </c>
      <c r="D1864" s="0" t="n">
        <v>19.661</v>
      </c>
      <c r="E1864" s="0" t="n">
        <v>28.381</v>
      </c>
      <c r="F1864" s="0" t="n">
        <v>0.0266</v>
      </c>
      <c r="G1864" s="12" t="n">
        <f aca="false">(A1864+(C1864*D1864*COS(RADIANS(E1864))^2-F1864*C1864*D1864)*TAN(RADIANS(B1864)))/(C1864*D1864*SIN(RADIANS(E1864))*COS(RADIANS(E1864)))</f>
        <v>1.35952539218199</v>
      </c>
    </row>
    <row r="1865" customFormat="false" ht="15" hidden="false" customHeight="false" outlineLevel="0" collapsed="false">
      <c r="A1865" s="0" t="n">
        <v>20.913</v>
      </c>
      <c r="B1865" s="0" t="n">
        <v>35.743</v>
      </c>
      <c r="C1865" s="0" t="n">
        <v>20.643</v>
      </c>
      <c r="D1865" s="0" t="n">
        <v>17.394</v>
      </c>
      <c r="E1865" s="0" t="n">
        <v>33.075</v>
      </c>
      <c r="F1865" s="0" t="n">
        <v>0.1956</v>
      </c>
      <c r="G1865" s="12" t="n">
        <f aca="false">(A1865+(C1865*D1865*COS(RADIANS(E1865))^2-F1865*C1865*D1865)*TAN(RADIANS(B1865)))/(C1865*D1865*SIN(RADIANS(E1865))*COS(RADIANS(E1865)))</f>
        <v>0.924612485223224</v>
      </c>
    </row>
    <row r="1866" customFormat="false" ht="15" hidden="false" customHeight="false" outlineLevel="0" collapsed="false">
      <c r="A1866" s="0" t="n">
        <v>11.397</v>
      </c>
      <c r="B1866" s="0" t="n">
        <v>36.568</v>
      </c>
      <c r="C1866" s="0" t="n">
        <v>18.964</v>
      </c>
      <c r="D1866" s="0" t="n">
        <v>12.363</v>
      </c>
      <c r="E1866" s="0" t="n">
        <v>28.613</v>
      </c>
      <c r="F1866" s="0" t="n">
        <v>0.194</v>
      </c>
      <c r="G1866" s="12" t="n">
        <f aca="false">(A1866+(C1866*D1866*COS(RADIANS(E1866))^2-F1866*C1866*D1866)*TAN(RADIANS(B1866)))/(C1866*D1866*SIN(RADIANS(E1866))*COS(RADIANS(E1866)))</f>
        <v>1.13314167291533</v>
      </c>
    </row>
    <row r="1867" customFormat="false" ht="15" hidden="false" customHeight="false" outlineLevel="0" collapsed="false">
      <c r="A1867" s="0" t="n">
        <v>12.651</v>
      </c>
      <c r="B1867" s="0" t="n">
        <v>35.263</v>
      </c>
      <c r="C1867" s="0" t="n">
        <v>20.221</v>
      </c>
      <c r="D1867" s="0" t="n">
        <v>13.914</v>
      </c>
      <c r="E1867" s="0" t="n">
        <v>27.684</v>
      </c>
      <c r="F1867" s="0" t="n">
        <v>0.0371</v>
      </c>
      <c r="G1867" s="12" t="n">
        <f aca="false">(A1867+(C1867*D1867*COS(RADIANS(E1867))^2-F1867*C1867*D1867)*TAN(RADIANS(B1867)))/(C1867*D1867*SIN(RADIANS(E1867))*COS(RADIANS(E1867)))</f>
        <v>1.39321677925779</v>
      </c>
    </row>
    <row r="1868" customFormat="false" ht="15" hidden="false" customHeight="false" outlineLevel="0" collapsed="false">
      <c r="A1868" s="0" t="n">
        <v>15.044</v>
      </c>
      <c r="B1868" s="0" t="n">
        <v>31.922</v>
      </c>
      <c r="C1868" s="0" t="n">
        <v>20.294</v>
      </c>
      <c r="D1868" s="0" t="n">
        <v>18.752</v>
      </c>
      <c r="E1868" s="0" t="n">
        <v>32.027</v>
      </c>
      <c r="F1868" s="0" t="n">
        <v>0.1643</v>
      </c>
      <c r="G1868" s="12" t="n">
        <f aca="false">(A1868+(C1868*D1868*COS(RADIANS(E1868))^2-F1868*C1868*D1868)*TAN(RADIANS(B1868)))/(C1868*D1868*SIN(RADIANS(E1868))*COS(RADIANS(E1868)))</f>
        <v>0.856198024979901</v>
      </c>
    </row>
    <row r="1869" customFormat="false" ht="15" hidden="false" customHeight="false" outlineLevel="0" collapsed="false">
      <c r="A1869" s="0" t="n">
        <v>18.516</v>
      </c>
      <c r="B1869" s="0" t="n">
        <v>33.851</v>
      </c>
      <c r="C1869" s="0" t="n">
        <v>20.279</v>
      </c>
      <c r="D1869" s="0" t="n">
        <v>16.949</v>
      </c>
      <c r="E1869" s="0" t="n">
        <v>27.495</v>
      </c>
      <c r="F1869" s="0" t="n">
        <v>0.2684</v>
      </c>
      <c r="G1869" s="12" t="n">
        <f aca="false">(A1869+(C1869*D1869*COS(RADIANS(E1869))^2-F1869*C1869*D1869)*TAN(RADIANS(B1869)))/(C1869*D1869*SIN(RADIANS(E1869))*COS(RADIANS(E1869)))</f>
        <v>0.980690967876835</v>
      </c>
    </row>
    <row r="1870" customFormat="false" ht="15" hidden="false" customHeight="false" outlineLevel="0" collapsed="false">
      <c r="A1870" s="0" t="n">
        <v>9.011</v>
      </c>
      <c r="B1870" s="0" t="n">
        <v>35.163</v>
      </c>
      <c r="C1870" s="0" t="n">
        <v>18.595</v>
      </c>
      <c r="D1870" s="0" t="n">
        <v>17.596</v>
      </c>
      <c r="E1870" s="0" t="n">
        <v>30.844</v>
      </c>
      <c r="F1870" s="0" t="n">
        <v>0.0629</v>
      </c>
      <c r="G1870" s="12" t="n">
        <f aca="false">(A1870+(C1870*D1870*COS(RADIANS(E1870))^2-F1870*C1870*D1870)*TAN(RADIANS(B1870)))/(C1870*D1870*SIN(RADIANS(E1870))*COS(RADIANS(E1870)))</f>
        <v>1.14157674950076</v>
      </c>
    </row>
    <row r="1871" customFormat="false" ht="15" hidden="false" customHeight="false" outlineLevel="0" collapsed="false">
      <c r="A1871" s="0" t="n">
        <v>9.759</v>
      </c>
      <c r="B1871" s="0" t="n">
        <v>38.725</v>
      </c>
      <c r="C1871" s="0" t="n">
        <v>21.239</v>
      </c>
      <c r="D1871" s="0" t="n">
        <v>14.444</v>
      </c>
      <c r="E1871" s="0" t="n">
        <v>27.939</v>
      </c>
      <c r="F1871" s="0" t="n">
        <v>0.3216</v>
      </c>
      <c r="G1871" s="12" t="n">
        <f aca="false">(A1871+(C1871*D1871*COS(RADIANS(E1871))^2-F1871*C1871*D1871)*TAN(RADIANS(B1871)))/(C1871*D1871*SIN(RADIANS(E1871))*COS(RADIANS(E1871)))</f>
        <v>0.965811921405735</v>
      </c>
    </row>
    <row r="1872" customFormat="false" ht="15" hidden="false" customHeight="false" outlineLevel="0" collapsed="false">
      <c r="A1872" s="0" t="n">
        <v>6.849</v>
      </c>
      <c r="B1872" s="0" t="n">
        <v>36.991</v>
      </c>
      <c r="C1872" s="0" t="n">
        <v>19.749</v>
      </c>
      <c r="D1872" s="0" t="n">
        <v>14.607</v>
      </c>
      <c r="E1872" s="0" t="n">
        <v>26.917</v>
      </c>
      <c r="F1872" s="0" t="n">
        <v>0.012</v>
      </c>
      <c r="G1872" s="12" t="n">
        <f aca="false">(A1872+(C1872*D1872*COS(RADIANS(E1872))^2-F1872*C1872*D1872)*TAN(RADIANS(B1872)))/(C1872*D1872*SIN(RADIANS(E1872))*COS(RADIANS(E1872)))</f>
        <v>1.52018294961974</v>
      </c>
    </row>
    <row r="1873" customFormat="false" ht="15" hidden="false" customHeight="false" outlineLevel="0" collapsed="false">
      <c r="A1873" s="0" t="n">
        <v>15.131</v>
      </c>
      <c r="B1873" s="0" t="n">
        <v>35.431</v>
      </c>
      <c r="C1873" s="0" t="n">
        <v>19.699</v>
      </c>
      <c r="D1873" s="0" t="n">
        <v>10.326</v>
      </c>
      <c r="E1873" s="0" t="n">
        <v>25.738</v>
      </c>
      <c r="F1873" s="0" t="n">
        <v>0.1182</v>
      </c>
      <c r="G1873" s="12" t="n">
        <f aca="false">(A1873+(C1873*D1873*COS(RADIANS(E1873))^2-F1873*C1873*D1873)*TAN(RADIANS(B1873)))/(C1873*D1873*SIN(RADIANS(E1873))*COS(RADIANS(E1873)))</f>
        <v>1.45101127152495</v>
      </c>
    </row>
    <row r="1874" customFormat="false" ht="15" hidden="false" customHeight="false" outlineLevel="0" collapsed="false">
      <c r="A1874" s="0" t="n">
        <v>10.527</v>
      </c>
      <c r="B1874" s="0" t="n">
        <v>36.873</v>
      </c>
      <c r="C1874" s="0" t="n">
        <v>19.592</v>
      </c>
      <c r="D1874" s="0" t="n">
        <v>13.075</v>
      </c>
      <c r="E1874" s="0" t="n">
        <v>29.49</v>
      </c>
      <c r="F1874" s="0" t="n">
        <v>0.1947</v>
      </c>
      <c r="G1874" s="12" t="n">
        <f aca="false">(A1874+(C1874*D1874*COS(RADIANS(E1874))^2-F1874*C1874*D1874)*TAN(RADIANS(B1874)))/(C1874*D1874*SIN(RADIANS(E1874))*COS(RADIANS(E1874)))</f>
        <v>1.08138954515133</v>
      </c>
    </row>
    <row r="1875" customFormat="false" ht="15" hidden="false" customHeight="false" outlineLevel="0" collapsed="false">
      <c r="A1875" s="0" t="n">
        <v>13.462</v>
      </c>
      <c r="B1875" s="0" t="n">
        <v>38.802</v>
      </c>
      <c r="C1875" s="0" t="n">
        <v>18.787</v>
      </c>
      <c r="D1875" s="0" t="n">
        <v>19.177</v>
      </c>
      <c r="E1875" s="0" t="n">
        <v>28.543</v>
      </c>
      <c r="F1875" s="0" t="n">
        <v>0.135</v>
      </c>
      <c r="G1875" s="12" t="n">
        <f aca="false">(A1875+(C1875*D1875*COS(RADIANS(E1875))^2-F1875*C1875*D1875)*TAN(RADIANS(B1875)))/(C1875*D1875*SIN(RADIANS(E1875))*COS(RADIANS(E1875)))</f>
        <v>1.30868926843523</v>
      </c>
    </row>
    <row r="1876" customFormat="false" ht="15" hidden="false" customHeight="false" outlineLevel="0" collapsed="false">
      <c r="A1876" s="0" t="n">
        <v>17.646</v>
      </c>
      <c r="B1876" s="0" t="n">
        <v>31.055</v>
      </c>
      <c r="C1876" s="0" t="n">
        <v>20.536</v>
      </c>
      <c r="D1876" s="0" t="n">
        <v>13.279</v>
      </c>
      <c r="E1876" s="0" t="n">
        <v>29.966</v>
      </c>
      <c r="F1876" s="0" t="n">
        <v>0.2395</v>
      </c>
      <c r="G1876" s="12" t="n">
        <f aca="false">(A1876+(C1876*D1876*COS(RADIANS(E1876))^2-F1876*C1876*D1876)*TAN(RADIANS(B1876)))/(C1876*D1876*SIN(RADIANS(E1876))*COS(RADIANS(E1876)))</f>
        <v>0.860669288835125</v>
      </c>
    </row>
    <row r="1877" customFormat="false" ht="15" hidden="false" customHeight="false" outlineLevel="0" collapsed="false">
      <c r="A1877" s="0" t="n">
        <v>12.434</v>
      </c>
      <c r="B1877" s="0" t="n">
        <v>35.037</v>
      </c>
      <c r="C1877" s="0" t="n">
        <v>20.162</v>
      </c>
      <c r="D1877" s="0" t="n">
        <v>15.249</v>
      </c>
      <c r="E1877" s="0" t="n">
        <v>28.333</v>
      </c>
      <c r="F1877" s="0" t="n">
        <v>0.099</v>
      </c>
      <c r="G1877" s="12" t="n">
        <f aca="false">(A1877+(C1877*D1877*COS(RADIANS(E1877))^2-F1877*C1877*D1877)*TAN(RADIANS(B1877)))/(C1877*D1877*SIN(RADIANS(E1877))*COS(RADIANS(E1877)))</f>
        <v>1.23106204525299</v>
      </c>
    </row>
    <row r="1878" customFormat="false" ht="15" hidden="false" customHeight="false" outlineLevel="0" collapsed="false">
      <c r="A1878" s="0" t="n">
        <v>15.925</v>
      </c>
      <c r="B1878" s="0" t="n">
        <v>30.065</v>
      </c>
      <c r="C1878" s="0" t="n">
        <v>20.898</v>
      </c>
      <c r="D1878" s="0" t="n">
        <v>25.484</v>
      </c>
      <c r="E1878" s="0" t="n">
        <v>27.703</v>
      </c>
      <c r="F1878" s="0" t="n">
        <v>0.0563</v>
      </c>
      <c r="G1878" s="12" t="n">
        <f aca="false">(A1878+(C1878*D1878*COS(RADIANS(E1878))^2-F1878*C1878*D1878)*TAN(RADIANS(B1878)))/(C1878*D1878*SIN(RADIANS(E1878))*COS(RADIANS(E1878)))</f>
        <v>1.09590337797958</v>
      </c>
    </row>
    <row r="1879" customFormat="false" ht="15" hidden="false" customHeight="false" outlineLevel="0" collapsed="false">
      <c r="A1879" s="0" t="n">
        <v>13.803</v>
      </c>
      <c r="B1879" s="0" t="n">
        <v>34.986</v>
      </c>
      <c r="C1879" s="0" t="n">
        <v>20.964</v>
      </c>
      <c r="D1879" s="0" t="n">
        <v>18.439</v>
      </c>
      <c r="E1879" s="0" t="n">
        <v>28.435</v>
      </c>
      <c r="F1879" s="0" t="n">
        <v>0.1326</v>
      </c>
      <c r="G1879" s="12" t="n">
        <f aca="false">(A1879+(C1879*D1879*COS(RADIANS(E1879))^2-F1879*C1879*D1879)*TAN(RADIANS(B1879)))/(C1879*D1879*SIN(RADIANS(E1879))*COS(RADIANS(E1879)))</f>
        <v>1.15609675755944</v>
      </c>
    </row>
    <row r="1880" customFormat="false" ht="15" hidden="false" customHeight="false" outlineLevel="0" collapsed="false">
      <c r="A1880" s="0" t="n">
        <v>17.688</v>
      </c>
      <c r="B1880" s="0" t="n">
        <v>33.506</v>
      </c>
      <c r="C1880" s="0" t="n">
        <v>19.593</v>
      </c>
      <c r="D1880" s="0" t="n">
        <v>16.491</v>
      </c>
      <c r="E1880" s="0" t="n">
        <v>27.423</v>
      </c>
      <c r="F1880" s="0" t="n">
        <v>0.1775</v>
      </c>
      <c r="G1880" s="12" t="n">
        <f aca="false">(A1880+(C1880*D1880*COS(RADIANS(E1880))^2-F1880*C1880*D1880)*TAN(RADIANS(B1880)))/(C1880*D1880*SIN(RADIANS(E1880))*COS(RADIANS(E1880)))</f>
        <v>1.12240232900424</v>
      </c>
    </row>
    <row r="1881" customFormat="false" ht="15" hidden="false" customHeight="false" outlineLevel="0" collapsed="false">
      <c r="A1881" s="0" t="n">
        <v>16.901</v>
      </c>
      <c r="B1881" s="0" t="n">
        <v>39.007</v>
      </c>
      <c r="C1881" s="0" t="n">
        <v>20.995</v>
      </c>
      <c r="D1881" s="0" t="n">
        <v>20.127</v>
      </c>
      <c r="E1881" s="0" t="n">
        <v>25.827</v>
      </c>
      <c r="F1881" s="0" t="n">
        <v>0.2424</v>
      </c>
      <c r="G1881" s="12" t="n">
        <f aca="false">(A1881+(C1881*D1881*COS(RADIANS(E1881))^2-F1881*C1881*D1881)*TAN(RADIANS(B1881)))/(C1881*D1881*SIN(RADIANS(E1881))*COS(RADIANS(E1881)))</f>
        <v>1.27482753225558</v>
      </c>
    </row>
    <row r="1882" customFormat="false" ht="15" hidden="false" customHeight="false" outlineLevel="0" collapsed="false">
      <c r="A1882" s="0" t="n">
        <v>12.232</v>
      </c>
      <c r="B1882" s="0" t="n">
        <v>38.426</v>
      </c>
      <c r="C1882" s="0" t="n">
        <v>19.435</v>
      </c>
      <c r="D1882" s="0" t="n">
        <v>13.616</v>
      </c>
      <c r="E1882" s="0" t="n">
        <v>26.139</v>
      </c>
      <c r="F1882" s="0" t="n">
        <v>0.1591</v>
      </c>
      <c r="G1882" s="12" t="n">
        <f aca="false">(A1882+(C1882*D1882*COS(RADIANS(E1882))^2-F1882*C1882*D1882)*TAN(RADIANS(B1882)))/(C1882*D1882*SIN(RADIANS(E1882))*COS(RADIANS(E1882)))</f>
        <v>1.41433430817597</v>
      </c>
    </row>
    <row r="1883" customFormat="false" ht="15" hidden="false" customHeight="false" outlineLevel="0" collapsed="false">
      <c r="A1883" s="0" t="n">
        <v>14.325</v>
      </c>
      <c r="B1883" s="0" t="n">
        <v>41.103</v>
      </c>
      <c r="C1883" s="0" t="n">
        <v>21.292</v>
      </c>
      <c r="D1883" s="0" t="n">
        <v>12.474</v>
      </c>
      <c r="E1883" s="0" t="n">
        <v>25.9</v>
      </c>
      <c r="F1883" s="0" t="n">
        <v>0.1893</v>
      </c>
      <c r="G1883" s="12" t="n">
        <f aca="false">(A1883+(C1883*D1883*COS(RADIANS(E1883))^2-F1883*C1883*D1883)*TAN(RADIANS(B1883)))/(C1883*D1883*SIN(RADIANS(E1883))*COS(RADIANS(E1883)))</f>
        <v>1.51368342708085</v>
      </c>
    </row>
    <row r="1884" customFormat="false" ht="15" hidden="false" customHeight="false" outlineLevel="0" collapsed="false">
      <c r="A1884" s="0" t="n">
        <v>19.175</v>
      </c>
      <c r="B1884" s="0" t="n">
        <v>34.145</v>
      </c>
      <c r="C1884" s="0" t="n">
        <v>21.123</v>
      </c>
      <c r="D1884" s="0" t="n">
        <v>16.07</v>
      </c>
      <c r="E1884" s="0" t="n">
        <v>29.921</v>
      </c>
      <c r="F1884" s="0" t="n">
        <v>0</v>
      </c>
      <c r="G1884" s="12" t="n">
        <f aca="false">(A1884+(C1884*D1884*COS(RADIANS(E1884))^2-F1884*C1884*D1884)*TAN(RADIANS(B1884)))/(C1884*D1884*SIN(RADIANS(E1884))*COS(RADIANS(E1884)))</f>
        <v>1.30908520941539</v>
      </c>
    </row>
    <row r="1885" customFormat="false" ht="15" hidden="false" customHeight="false" outlineLevel="0" collapsed="false">
      <c r="A1885" s="0" t="n">
        <v>16.574</v>
      </c>
      <c r="B1885" s="0" t="n">
        <v>35.739</v>
      </c>
      <c r="C1885" s="0" t="n">
        <v>19.061</v>
      </c>
      <c r="D1885" s="0" t="n">
        <v>14.569</v>
      </c>
      <c r="E1885" s="0" t="n">
        <v>25.486</v>
      </c>
      <c r="F1885" s="0" t="n">
        <v>0.2451</v>
      </c>
      <c r="G1885" s="12" t="n">
        <f aca="false">(A1885+(C1885*D1885*COS(RADIANS(E1885))^2-F1885*C1885*D1885)*TAN(RADIANS(B1885)))/(C1885*D1885*SIN(RADIANS(E1885))*COS(RADIANS(E1885)))</f>
        <v>1.20920519692437</v>
      </c>
    </row>
    <row r="1886" customFormat="false" ht="15" hidden="false" customHeight="false" outlineLevel="0" collapsed="false">
      <c r="A1886" s="0" t="n">
        <v>9.412</v>
      </c>
      <c r="B1886" s="0" t="n">
        <v>34.832</v>
      </c>
      <c r="C1886" s="0" t="n">
        <v>21.061</v>
      </c>
      <c r="D1886" s="0" t="n">
        <v>17.049</v>
      </c>
      <c r="E1886" s="0" t="n">
        <v>30.505</v>
      </c>
      <c r="F1886" s="0" t="n">
        <v>0.149</v>
      </c>
      <c r="G1886" s="12" t="n">
        <f aca="false">(A1886+(C1886*D1886*COS(RADIANS(E1886))^2-F1886*C1886*D1886)*TAN(RADIANS(B1886)))/(C1886*D1886*SIN(RADIANS(E1886))*COS(RADIANS(E1886)))</f>
        <v>1.00394591725648</v>
      </c>
    </row>
    <row r="1887" customFormat="false" ht="15" hidden="false" customHeight="false" outlineLevel="0" collapsed="false">
      <c r="A1887" s="0" t="n">
        <v>17.622</v>
      </c>
      <c r="B1887" s="0" t="n">
        <v>38.948</v>
      </c>
      <c r="C1887" s="0" t="n">
        <v>19.833</v>
      </c>
      <c r="D1887" s="0" t="n">
        <v>13.874</v>
      </c>
      <c r="E1887" s="0" t="n">
        <v>29.316</v>
      </c>
      <c r="F1887" s="0" t="n">
        <v>0.1904</v>
      </c>
      <c r="G1887" s="12" t="n">
        <f aca="false">(A1887+(C1887*D1887*COS(RADIANS(E1887))^2-F1887*C1887*D1887)*TAN(RADIANS(B1887)))/(C1887*D1887*SIN(RADIANS(E1887))*COS(RADIANS(E1887)))</f>
        <v>1.2289282009176</v>
      </c>
    </row>
    <row r="1888" customFormat="false" ht="15" hidden="false" customHeight="false" outlineLevel="0" collapsed="false">
      <c r="A1888" s="0" t="n">
        <v>10.662</v>
      </c>
      <c r="B1888" s="0" t="n">
        <v>34.916</v>
      </c>
      <c r="C1888" s="0" t="n">
        <v>19.117</v>
      </c>
      <c r="D1888" s="0" t="n">
        <v>11.691</v>
      </c>
      <c r="E1888" s="0" t="n">
        <v>31.168</v>
      </c>
      <c r="F1888" s="0" t="n">
        <v>0.0972</v>
      </c>
      <c r="G1888" s="12" t="n">
        <f aca="false">(A1888+(C1888*D1888*COS(RADIANS(E1888))^2-F1888*C1888*D1888)*TAN(RADIANS(B1888)))/(C1888*D1888*SIN(RADIANS(E1888))*COS(RADIANS(E1888)))</f>
        <v>1.10854532058946</v>
      </c>
    </row>
    <row r="1889" customFormat="false" ht="15" hidden="false" customHeight="false" outlineLevel="0" collapsed="false">
      <c r="A1889" s="0" t="n">
        <v>20.65</v>
      </c>
      <c r="B1889" s="0" t="n">
        <v>32.132</v>
      </c>
      <c r="C1889" s="0" t="n">
        <v>20.404</v>
      </c>
      <c r="D1889" s="0" t="n">
        <v>19.493</v>
      </c>
      <c r="E1889" s="0" t="n">
        <v>27.333</v>
      </c>
      <c r="F1889" s="0" t="n">
        <v>0.1778</v>
      </c>
      <c r="G1889" s="12" t="n">
        <f aca="false">(A1889+(C1889*D1889*COS(RADIANS(E1889))^2-F1889*C1889*D1889)*TAN(RADIANS(B1889)))/(C1889*D1889*SIN(RADIANS(E1889))*COS(RADIANS(E1889)))</f>
        <v>1.06866909198138</v>
      </c>
    </row>
    <row r="1890" customFormat="false" ht="15" hidden="false" customHeight="false" outlineLevel="0" collapsed="false">
      <c r="A1890" s="0" t="n">
        <v>19.096</v>
      </c>
      <c r="B1890" s="0" t="n">
        <v>29.9</v>
      </c>
      <c r="C1890" s="0" t="n">
        <v>18.035</v>
      </c>
      <c r="D1890" s="0" t="n">
        <v>15.333</v>
      </c>
      <c r="E1890" s="0" t="n">
        <v>27.861</v>
      </c>
      <c r="F1890" s="0" t="n">
        <v>0.1467</v>
      </c>
      <c r="G1890" s="12" t="n">
        <f aca="false">(A1890+(C1890*D1890*COS(RADIANS(E1890))^2-F1890*C1890*D1890)*TAN(RADIANS(B1890)))/(C1890*D1890*SIN(RADIANS(E1890))*COS(RADIANS(E1890)))</f>
        <v>1.05079071241733</v>
      </c>
    </row>
    <row r="1891" customFormat="false" ht="15" hidden="false" customHeight="false" outlineLevel="0" collapsed="false">
      <c r="A1891" s="0" t="n">
        <v>16.16</v>
      </c>
      <c r="B1891" s="0" t="n">
        <v>38.781</v>
      </c>
      <c r="C1891" s="0" t="n">
        <v>19.55</v>
      </c>
      <c r="D1891" s="0" t="n">
        <v>11.266</v>
      </c>
      <c r="E1891" s="0" t="n">
        <v>27.272</v>
      </c>
      <c r="F1891" s="0" t="n">
        <v>0</v>
      </c>
      <c r="G1891" s="12" t="n">
        <f aca="false">(A1891+(C1891*D1891*COS(RADIANS(E1891))^2-F1891*C1891*D1891)*TAN(RADIANS(B1891)))/(C1891*D1891*SIN(RADIANS(E1891))*COS(RADIANS(E1891)))</f>
        <v>1.73872095216222</v>
      </c>
    </row>
    <row r="1892" customFormat="false" ht="15" hidden="false" customHeight="false" outlineLevel="0" collapsed="false">
      <c r="A1892" s="0" t="n">
        <v>15.629</v>
      </c>
      <c r="B1892" s="0" t="n">
        <v>35.99</v>
      </c>
      <c r="C1892" s="0" t="n">
        <v>20.657</v>
      </c>
      <c r="D1892" s="0" t="n">
        <v>14.622</v>
      </c>
      <c r="E1892" s="0" t="n">
        <v>30.531</v>
      </c>
      <c r="F1892" s="0" t="n">
        <v>0.051</v>
      </c>
      <c r="G1892" s="12" t="n">
        <f aca="false">(A1892+(C1892*D1892*COS(RADIANS(E1892))^2-F1892*C1892*D1892)*TAN(RADIANS(B1892)))/(C1892*D1892*SIN(RADIANS(E1892))*COS(RADIANS(E1892)))</f>
        <v>1.26505042667469</v>
      </c>
    </row>
    <row r="1893" customFormat="false" ht="15" hidden="false" customHeight="false" outlineLevel="0" collapsed="false">
      <c r="A1893" s="0" t="n">
        <v>14.164</v>
      </c>
      <c r="B1893" s="0" t="n">
        <v>35.583</v>
      </c>
      <c r="C1893" s="0" t="n">
        <v>19.502</v>
      </c>
      <c r="D1893" s="0" t="n">
        <v>15.082</v>
      </c>
      <c r="E1893" s="0" t="n">
        <v>27.353</v>
      </c>
      <c r="F1893" s="0" t="n">
        <v>0.0582</v>
      </c>
      <c r="G1893" s="12" t="n">
        <f aca="false">(A1893+(C1893*D1893*COS(RADIANS(E1893))^2-F1893*C1893*D1893)*TAN(RADIANS(B1893)))/(C1893*D1893*SIN(RADIANS(E1893))*COS(RADIANS(E1893)))</f>
        <v>1.39904201337015</v>
      </c>
    </row>
    <row r="1894" customFormat="false" ht="15" hidden="false" customHeight="false" outlineLevel="0" collapsed="false">
      <c r="A1894" s="0" t="n">
        <v>17.714</v>
      </c>
      <c r="B1894" s="0" t="n">
        <v>39.625</v>
      </c>
      <c r="C1894" s="0" t="n">
        <v>19.33</v>
      </c>
      <c r="D1894" s="0" t="n">
        <v>18.202</v>
      </c>
      <c r="E1894" s="0" t="n">
        <v>27.317</v>
      </c>
      <c r="F1894" s="0" t="n">
        <v>0.2782</v>
      </c>
      <c r="G1894" s="12" t="n">
        <f aca="false">(A1894+(C1894*D1894*COS(RADIANS(E1894))^2-F1894*C1894*D1894)*TAN(RADIANS(B1894)))/(C1894*D1894*SIN(RADIANS(E1894))*COS(RADIANS(E1894)))</f>
        <v>1.16159131522846</v>
      </c>
    </row>
    <row r="1895" customFormat="false" ht="15" hidden="false" customHeight="false" outlineLevel="0" collapsed="false">
      <c r="A1895" s="0" t="n">
        <v>13.517</v>
      </c>
      <c r="B1895" s="0" t="n">
        <v>35.449</v>
      </c>
      <c r="C1895" s="0" t="n">
        <v>19.687</v>
      </c>
      <c r="D1895" s="0" t="n">
        <v>12.995</v>
      </c>
      <c r="E1895" s="0" t="n">
        <v>25.639</v>
      </c>
      <c r="F1895" s="0" t="n">
        <v>0.1146</v>
      </c>
      <c r="G1895" s="12" t="n">
        <f aca="false">(A1895+(C1895*D1895*COS(RADIANS(E1895))^2-F1895*C1895*D1895)*TAN(RADIANS(B1895)))/(C1895*D1895*SIN(RADIANS(E1895))*COS(RADIANS(E1895)))</f>
        <v>1.40965336404605</v>
      </c>
    </row>
    <row r="1896" customFormat="false" ht="15" hidden="false" customHeight="false" outlineLevel="0" collapsed="false">
      <c r="A1896" s="0" t="n">
        <v>15.942</v>
      </c>
      <c r="B1896" s="0" t="n">
        <v>30.557</v>
      </c>
      <c r="C1896" s="0" t="n">
        <v>20.946</v>
      </c>
      <c r="D1896" s="0" t="n">
        <v>12.951</v>
      </c>
      <c r="E1896" s="0" t="n">
        <v>28.587</v>
      </c>
      <c r="F1896" s="0" t="n">
        <v>0.1897</v>
      </c>
      <c r="G1896" s="12" t="n">
        <f aca="false">(A1896+(C1896*D1896*COS(RADIANS(E1896))^2-F1896*C1896*D1896)*TAN(RADIANS(B1896)))/(C1896*D1896*SIN(RADIANS(E1896))*COS(RADIANS(E1896)))</f>
        <v>0.956742794565812</v>
      </c>
    </row>
    <row r="1897" customFormat="false" ht="15" hidden="false" customHeight="false" outlineLevel="0" collapsed="false">
      <c r="A1897" s="0" t="n">
        <v>18.488</v>
      </c>
      <c r="B1897" s="0" t="n">
        <v>31.249</v>
      </c>
      <c r="C1897" s="0" t="n">
        <v>19.515</v>
      </c>
      <c r="D1897" s="0" t="n">
        <v>20.736</v>
      </c>
      <c r="E1897" s="0" t="n">
        <v>32.677</v>
      </c>
      <c r="F1897" s="0" t="n">
        <v>0.0584</v>
      </c>
      <c r="G1897" s="12" t="n">
        <f aca="false">(A1897+(C1897*D1897*COS(RADIANS(E1897))^2-F1897*C1897*D1897)*TAN(RADIANS(B1897)))/(C1897*D1897*SIN(RADIANS(E1897))*COS(RADIANS(E1897)))</f>
        <v>0.968565706879772</v>
      </c>
    </row>
    <row r="1898" customFormat="false" ht="15" hidden="false" customHeight="false" outlineLevel="0" collapsed="false">
      <c r="A1898" s="0" t="n">
        <v>12.753</v>
      </c>
      <c r="B1898" s="0" t="n">
        <v>36.82</v>
      </c>
      <c r="C1898" s="0" t="n">
        <v>20.122</v>
      </c>
      <c r="D1898" s="0" t="n">
        <v>20.827</v>
      </c>
      <c r="E1898" s="0" t="n">
        <v>29.866</v>
      </c>
      <c r="F1898" s="0" t="n">
        <v>0.2287</v>
      </c>
      <c r="G1898" s="12" t="n">
        <f aca="false">(A1898+(C1898*D1898*COS(RADIANS(E1898))^2-F1898*C1898*D1898)*TAN(RADIANS(B1898)))/(C1898*D1898*SIN(RADIANS(E1898))*COS(RADIANS(E1898)))</f>
        <v>0.977706104645303</v>
      </c>
    </row>
    <row r="1899" customFormat="false" ht="15" hidden="false" customHeight="false" outlineLevel="0" collapsed="false">
      <c r="A1899" s="0" t="n">
        <v>12.535</v>
      </c>
      <c r="B1899" s="0" t="n">
        <v>37.149</v>
      </c>
      <c r="C1899" s="0" t="n">
        <v>20.56</v>
      </c>
      <c r="D1899" s="0" t="n">
        <v>17.427</v>
      </c>
      <c r="E1899" s="0" t="n">
        <v>26.379</v>
      </c>
      <c r="F1899" s="0" t="n">
        <v>0.1866</v>
      </c>
      <c r="G1899" s="12" t="n">
        <f aca="false">(A1899+(C1899*D1899*COS(RADIANS(E1899))^2-F1899*C1899*D1899)*TAN(RADIANS(B1899)))/(C1899*D1899*SIN(RADIANS(E1899))*COS(RADIANS(E1899)))</f>
        <v>1.26037570363271</v>
      </c>
    </row>
    <row r="1900" customFormat="false" ht="15" hidden="false" customHeight="false" outlineLevel="0" collapsed="false">
      <c r="A1900" s="0" t="n">
        <v>10.223</v>
      </c>
      <c r="B1900" s="0" t="n">
        <v>41.71</v>
      </c>
      <c r="C1900" s="0" t="n">
        <v>20.294</v>
      </c>
      <c r="D1900" s="0" t="n">
        <v>15.619</v>
      </c>
      <c r="E1900" s="0" t="n">
        <v>30.787</v>
      </c>
      <c r="F1900" s="0" t="n">
        <v>0.2102</v>
      </c>
      <c r="G1900" s="12" t="n">
        <f aca="false">(A1900+(C1900*D1900*COS(RADIANS(E1900))^2-F1900*C1900*D1900)*TAN(RADIANS(B1900)))/(C1900*D1900*SIN(RADIANS(E1900))*COS(RADIANS(E1900)))</f>
        <v>1.14319243237677</v>
      </c>
    </row>
    <row r="1901" customFormat="false" ht="15" hidden="false" customHeight="false" outlineLevel="0" collapsed="false">
      <c r="A1901" s="0" t="n">
        <v>10.742</v>
      </c>
      <c r="B1901" s="0" t="n">
        <v>35.25</v>
      </c>
      <c r="C1901" s="0" t="n">
        <v>18.94</v>
      </c>
      <c r="D1901" s="0" t="n">
        <v>16.715</v>
      </c>
      <c r="E1901" s="0" t="n">
        <v>26.458</v>
      </c>
      <c r="F1901" s="0" t="n">
        <v>0.2047</v>
      </c>
      <c r="G1901" s="12" t="n">
        <f aca="false">(A1901+(C1901*D1901*COS(RADIANS(E1901))^2-F1901*C1901*D1901)*TAN(RADIANS(B1901)))/(C1901*D1901*SIN(RADIANS(E1901))*COS(RADIANS(E1901)))</f>
        <v>1.14246606092197</v>
      </c>
    </row>
    <row r="1902" customFormat="false" ht="15" hidden="false" customHeight="false" outlineLevel="0" collapsed="false">
      <c r="A1902" s="0" t="n">
        <v>7.686</v>
      </c>
      <c r="B1902" s="0" t="n">
        <v>40.733</v>
      </c>
      <c r="C1902" s="0" t="n">
        <v>21.261</v>
      </c>
      <c r="D1902" s="0" t="n">
        <v>13.92</v>
      </c>
      <c r="E1902" s="0" t="n">
        <v>31.071</v>
      </c>
      <c r="F1902" s="0" t="n">
        <v>0.1386</v>
      </c>
      <c r="G1902" s="12" t="n">
        <f aca="false">(A1902+(C1902*D1902*COS(RADIANS(E1902))^2-F1902*C1902*D1902)*TAN(RADIANS(B1902)))/(C1902*D1902*SIN(RADIANS(E1902))*COS(RADIANS(E1902)))</f>
        <v>1.21791137438492</v>
      </c>
    </row>
    <row r="1903" customFormat="false" ht="15" hidden="false" customHeight="false" outlineLevel="0" collapsed="false">
      <c r="A1903" s="0" t="n">
        <v>17.919</v>
      </c>
      <c r="B1903" s="0" t="n">
        <v>31.749</v>
      </c>
      <c r="C1903" s="0" t="n">
        <v>19.34</v>
      </c>
      <c r="D1903" s="0" t="n">
        <v>18.011</v>
      </c>
      <c r="E1903" s="0" t="n">
        <v>29.192</v>
      </c>
      <c r="F1903" s="0" t="n">
        <v>0.1908</v>
      </c>
      <c r="G1903" s="12" t="n">
        <f aca="false">(A1903+(C1903*D1903*COS(RADIANS(E1903))^2-F1903*C1903*D1903)*TAN(RADIANS(B1903)))/(C1903*D1903*SIN(RADIANS(E1903))*COS(RADIANS(E1903)))</f>
        <v>0.951094763798237</v>
      </c>
    </row>
    <row r="1904" customFormat="false" ht="15" hidden="false" customHeight="false" outlineLevel="0" collapsed="false">
      <c r="A1904" s="0" t="n">
        <v>22.236</v>
      </c>
      <c r="B1904" s="0" t="n">
        <v>32.923</v>
      </c>
      <c r="C1904" s="0" t="n">
        <v>18.899</v>
      </c>
      <c r="D1904" s="0" t="n">
        <v>17.23</v>
      </c>
      <c r="E1904" s="0" t="n">
        <v>26.865</v>
      </c>
      <c r="F1904" s="0" t="n">
        <v>0.128</v>
      </c>
      <c r="G1904" s="12" t="n">
        <f aca="false">(A1904+(C1904*D1904*COS(RADIANS(E1904))^2-F1904*C1904*D1904)*TAN(RADIANS(B1904)))/(C1904*D1904*SIN(RADIANS(E1904))*COS(RADIANS(E1904)))</f>
        <v>1.24202215440321</v>
      </c>
    </row>
    <row r="1905" customFormat="false" ht="15" hidden="false" customHeight="false" outlineLevel="0" collapsed="false">
      <c r="A1905" s="0" t="n">
        <v>20.701</v>
      </c>
      <c r="B1905" s="0" t="n">
        <v>31.865</v>
      </c>
      <c r="C1905" s="0" t="n">
        <v>20.555</v>
      </c>
      <c r="D1905" s="0" t="n">
        <v>16.734</v>
      </c>
      <c r="E1905" s="0" t="n">
        <v>28.509</v>
      </c>
      <c r="F1905" s="0" t="n">
        <v>0.1668</v>
      </c>
      <c r="G1905" s="12" t="n">
        <f aca="false">(A1905+(C1905*D1905*COS(RADIANS(E1905))^2-F1905*C1905*D1905)*TAN(RADIANS(B1905)))/(C1905*D1905*SIN(RADIANS(E1905))*COS(RADIANS(E1905)))</f>
        <v>1.04069903425649</v>
      </c>
    </row>
    <row r="1906" customFormat="false" ht="15" hidden="false" customHeight="false" outlineLevel="0" collapsed="false">
      <c r="A1906" s="0" t="n">
        <v>8.496</v>
      </c>
      <c r="B1906" s="0" t="n">
        <v>35.818</v>
      </c>
      <c r="C1906" s="0" t="n">
        <v>20.829</v>
      </c>
      <c r="D1906" s="0" t="n">
        <v>18.141</v>
      </c>
      <c r="E1906" s="0" t="n">
        <v>26.874</v>
      </c>
      <c r="F1906" s="0" t="n">
        <v>0.0684</v>
      </c>
      <c r="G1906" s="12" t="n">
        <f aca="false">(A1906+(C1906*D1906*COS(RADIANS(E1906))^2-F1906*C1906*D1906)*TAN(RADIANS(B1906)))/(C1906*D1906*SIN(RADIANS(E1906))*COS(RADIANS(E1906)))</f>
        <v>1.357486594353</v>
      </c>
    </row>
    <row r="1907" customFormat="false" ht="15" hidden="false" customHeight="false" outlineLevel="0" collapsed="false">
      <c r="A1907" s="0" t="n">
        <v>17.899</v>
      </c>
      <c r="B1907" s="0" t="n">
        <v>38.79</v>
      </c>
      <c r="C1907" s="0" t="n">
        <v>20.967</v>
      </c>
      <c r="D1907" s="0" t="n">
        <v>14.898</v>
      </c>
      <c r="E1907" s="0" t="n">
        <v>27.604</v>
      </c>
      <c r="F1907" s="0" t="n">
        <v>0.222</v>
      </c>
      <c r="G1907" s="12" t="n">
        <f aca="false">(A1907+(C1907*D1907*COS(RADIANS(E1907))^2-F1907*C1907*D1907)*TAN(RADIANS(B1907)))/(C1907*D1907*SIN(RADIANS(E1907))*COS(RADIANS(E1907)))</f>
        <v>1.24214784329279</v>
      </c>
    </row>
    <row r="1908" customFormat="false" ht="15" hidden="false" customHeight="false" outlineLevel="0" collapsed="false">
      <c r="A1908" s="0" t="n">
        <v>20.688</v>
      </c>
      <c r="B1908" s="0" t="n">
        <v>34.66</v>
      </c>
      <c r="C1908" s="0" t="n">
        <v>20.143</v>
      </c>
      <c r="D1908" s="0" t="n">
        <v>14.374</v>
      </c>
      <c r="E1908" s="0" t="n">
        <v>30.905</v>
      </c>
      <c r="F1908" s="0" t="n">
        <v>0.2741</v>
      </c>
      <c r="G1908" s="12" t="n">
        <f aca="false">(A1908+(C1908*D1908*COS(RADIANS(E1908))^2-F1908*C1908*D1908)*TAN(RADIANS(B1908)))/(C1908*D1908*SIN(RADIANS(E1908))*COS(RADIANS(E1908)))</f>
        <v>0.887119874305644</v>
      </c>
    </row>
    <row r="1909" customFormat="false" ht="15" hidden="false" customHeight="false" outlineLevel="0" collapsed="false">
      <c r="A1909" s="0" t="n">
        <v>13.173</v>
      </c>
      <c r="B1909" s="0" t="n">
        <v>32.353</v>
      </c>
      <c r="C1909" s="0" t="n">
        <v>19.642</v>
      </c>
      <c r="D1909" s="0" t="n">
        <v>12.476</v>
      </c>
      <c r="E1909" s="0" t="n">
        <v>23.731</v>
      </c>
      <c r="F1909" s="0" t="n">
        <v>0.1152</v>
      </c>
      <c r="G1909" s="12" t="n">
        <f aca="false">(A1909+(C1909*D1909*COS(RADIANS(E1909))^2-F1909*C1909*D1909)*TAN(RADIANS(B1909)))/(C1909*D1909*SIN(RADIANS(E1909))*COS(RADIANS(E1909)))</f>
        <v>1.3887946907688</v>
      </c>
    </row>
    <row r="1910" customFormat="false" ht="15" hidden="false" customHeight="false" outlineLevel="0" collapsed="false">
      <c r="A1910" s="0" t="n">
        <v>15.406</v>
      </c>
      <c r="B1910" s="0" t="n">
        <v>37.082</v>
      </c>
      <c r="C1910" s="0" t="n">
        <v>20.301</v>
      </c>
      <c r="D1910" s="0" t="n">
        <v>17.379</v>
      </c>
      <c r="E1910" s="0" t="n">
        <v>28.266</v>
      </c>
      <c r="F1910" s="0" t="n">
        <v>0.1691</v>
      </c>
      <c r="G1910" s="12" t="n">
        <f aca="false">(A1910+(C1910*D1910*COS(RADIANS(E1910))^2-F1910*C1910*D1910)*TAN(RADIANS(B1910)))/(C1910*D1910*SIN(RADIANS(E1910))*COS(RADIANS(E1910)))</f>
        <v>1.20394495854728</v>
      </c>
    </row>
    <row r="1911" customFormat="false" ht="15" hidden="false" customHeight="false" outlineLevel="0" collapsed="false">
      <c r="A1911" s="0" t="n">
        <v>6.968</v>
      </c>
      <c r="B1911" s="0" t="n">
        <v>34.811</v>
      </c>
      <c r="C1911" s="0" t="n">
        <v>19.055</v>
      </c>
      <c r="D1911" s="0" t="n">
        <v>13.108</v>
      </c>
      <c r="E1911" s="0" t="n">
        <v>30.192</v>
      </c>
      <c r="F1911" s="0" t="n">
        <v>0</v>
      </c>
      <c r="G1911" s="12" t="n">
        <f aca="false">(A1911+(C1911*D1911*COS(RADIANS(E1911))^2-F1911*C1911*D1911)*TAN(RADIANS(B1911)))/(C1911*D1911*SIN(RADIANS(E1911))*COS(RADIANS(E1911)))</f>
        <v>1.25921296065175</v>
      </c>
    </row>
    <row r="1912" customFormat="false" ht="15" hidden="false" customHeight="false" outlineLevel="0" collapsed="false">
      <c r="A1912" s="0" t="n">
        <v>16.067</v>
      </c>
      <c r="B1912" s="0" t="n">
        <v>37.136</v>
      </c>
      <c r="C1912" s="0" t="n">
        <v>21.129</v>
      </c>
      <c r="D1912" s="0" t="n">
        <v>14.163</v>
      </c>
      <c r="E1912" s="0" t="n">
        <v>26.431</v>
      </c>
      <c r="F1912" s="0" t="n">
        <v>0.0454</v>
      </c>
      <c r="G1912" s="12" t="n">
        <f aca="false">(A1912+(C1912*D1912*COS(RADIANS(E1912))^2-F1912*C1912*D1912)*TAN(RADIANS(B1912)))/(C1912*D1912*SIN(RADIANS(E1912))*COS(RADIANS(E1912)))</f>
        <v>1.57191118905342</v>
      </c>
    </row>
    <row r="1913" customFormat="false" ht="15" hidden="false" customHeight="false" outlineLevel="0" collapsed="false">
      <c r="A1913" s="0" t="n">
        <v>10.746</v>
      </c>
      <c r="B1913" s="0" t="n">
        <v>34.929</v>
      </c>
      <c r="C1913" s="0" t="n">
        <v>20.309</v>
      </c>
      <c r="D1913" s="0" t="n">
        <v>12.2</v>
      </c>
      <c r="E1913" s="0" t="n">
        <v>25.237</v>
      </c>
      <c r="F1913" s="0" t="n">
        <v>0.0079</v>
      </c>
      <c r="G1913" s="12" t="n">
        <f aca="false">(A1913+(C1913*D1913*COS(RADIANS(E1913))^2-F1913*C1913*D1913)*TAN(RADIANS(B1913)))/(C1913*D1913*SIN(RADIANS(E1913))*COS(RADIANS(E1913)))</f>
        <v>1.57976276351223</v>
      </c>
    </row>
    <row r="1914" customFormat="false" ht="15" hidden="false" customHeight="false" outlineLevel="0" collapsed="false">
      <c r="A1914" s="0" t="n">
        <v>15.799</v>
      </c>
      <c r="B1914" s="0" t="n">
        <v>34.915</v>
      </c>
      <c r="C1914" s="0" t="n">
        <v>19.963</v>
      </c>
      <c r="D1914" s="0" t="n">
        <v>17.548</v>
      </c>
      <c r="E1914" s="0" t="n">
        <v>29.943</v>
      </c>
      <c r="F1914" s="0" t="n">
        <v>0.1336</v>
      </c>
      <c r="G1914" s="12" t="n">
        <f aca="false">(A1914+(C1914*D1914*COS(RADIANS(E1914))^2-F1914*C1914*D1914)*TAN(RADIANS(B1914)))/(C1914*D1914*SIN(RADIANS(E1914))*COS(RADIANS(E1914)))</f>
        <v>1.10042000297027</v>
      </c>
    </row>
    <row r="1915" customFormat="false" ht="15" hidden="false" customHeight="false" outlineLevel="0" collapsed="false">
      <c r="A1915" s="0" t="n">
        <v>8.755</v>
      </c>
      <c r="B1915" s="0" t="n">
        <v>41.28</v>
      </c>
      <c r="C1915" s="0" t="n">
        <v>22.065</v>
      </c>
      <c r="D1915" s="0" t="n">
        <v>13.684</v>
      </c>
      <c r="E1915" s="0" t="n">
        <v>26.908</v>
      </c>
      <c r="F1915" s="0" t="n">
        <v>0.1422</v>
      </c>
      <c r="G1915" s="12" t="n">
        <f aca="false">(A1915+(C1915*D1915*COS(RADIANS(E1915))^2-F1915*C1915*D1915)*TAN(RADIANS(B1915)))/(C1915*D1915*SIN(RADIANS(E1915))*COS(RADIANS(E1915)))</f>
        <v>1.49235383414822</v>
      </c>
    </row>
    <row r="1916" customFormat="false" ht="15" hidden="false" customHeight="false" outlineLevel="0" collapsed="false">
      <c r="A1916" s="0" t="n">
        <v>17.171</v>
      </c>
      <c r="B1916" s="0" t="n">
        <v>32.043</v>
      </c>
      <c r="C1916" s="0" t="n">
        <v>20.96</v>
      </c>
      <c r="D1916" s="0" t="n">
        <v>16.156</v>
      </c>
      <c r="E1916" s="0" t="n">
        <v>30.716</v>
      </c>
      <c r="F1916" s="0" t="n">
        <v>0.2359</v>
      </c>
      <c r="G1916" s="12" t="n">
        <f aca="false">(A1916+(C1916*D1916*COS(RADIANS(E1916))^2-F1916*C1916*D1916)*TAN(RADIANS(B1916)))/(C1916*D1916*SIN(RADIANS(E1916))*COS(RADIANS(E1916)))</f>
        <v>0.832717956838601</v>
      </c>
    </row>
    <row r="1917" customFormat="false" ht="15" hidden="false" customHeight="false" outlineLevel="0" collapsed="false">
      <c r="A1917" s="0" t="n">
        <v>19.098</v>
      </c>
      <c r="B1917" s="0" t="n">
        <v>36.446</v>
      </c>
      <c r="C1917" s="0" t="n">
        <v>18.713</v>
      </c>
      <c r="D1917" s="0" t="n">
        <v>16.499</v>
      </c>
      <c r="E1917" s="0" t="n">
        <v>27.992</v>
      </c>
      <c r="F1917" s="0" t="n">
        <v>0.1275</v>
      </c>
      <c r="G1917" s="12" t="n">
        <f aca="false">(A1917+(C1917*D1917*COS(RADIANS(E1917))^2-F1917*C1917*D1917)*TAN(RADIANS(B1917)))/(C1917*D1917*SIN(RADIANS(E1917))*COS(RADIANS(E1917)))</f>
        <v>1.31144879870859</v>
      </c>
    </row>
    <row r="1918" customFormat="false" ht="15" hidden="false" customHeight="false" outlineLevel="0" collapsed="false">
      <c r="A1918" s="0" t="n">
        <v>11.867</v>
      </c>
      <c r="B1918" s="0" t="n">
        <v>37.354</v>
      </c>
      <c r="C1918" s="0" t="n">
        <v>20.524</v>
      </c>
      <c r="D1918" s="0" t="n">
        <v>13.874</v>
      </c>
      <c r="E1918" s="0" t="n">
        <v>25.889</v>
      </c>
      <c r="F1918" s="0" t="n">
        <v>0.0943</v>
      </c>
      <c r="G1918" s="12" t="n">
        <f aca="false">(A1918+(C1918*D1918*COS(RADIANS(E1918))^2-F1918*C1918*D1918)*TAN(RADIANS(B1918)))/(C1918*D1918*SIN(RADIANS(E1918))*COS(RADIANS(E1918)))</f>
        <v>1.49555097660935</v>
      </c>
    </row>
    <row r="1919" customFormat="false" ht="15" hidden="false" customHeight="false" outlineLevel="0" collapsed="false">
      <c r="A1919" s="0" t="n">
        <v>10.452</v>
      </c>
      <c r="B1919" s="0" t="n">
        <v>38.361</v>
      </c>
      <c r="C1919" s="0" t="n">
        <v>20.912</v>
      </c>
      <c r="D1919" s="0" t="n">
        <v>23.743</v>
      </c>
      <c r="E1919" s="0" t="n">
        <v>29.876</v>
      </c>
      <c r="F1919" s="0" t="n">
        <v>0.1476</v>
      </c>
      <c r="G1919" s="12" t="n">
        <f aca="false">(A1919+(C1919*D1919*COS(RADIANS(E1919))^2-F1919*C1919*D1919)*TAN(RADIANS(B1919)))/(C1919*D1919*SIN(RADIANS(E1919))*COS(RADIANS(E1919)))</f>
        <v>1.15603327026598</v>
      </c>
    </row>
    <row r="1920" customFormat="false" ht="15" hidden="false" customHeight="false" outlineLevel="0" collapsed="false">
      <c r="A1920" s="0" t="n">
        <v>6.376</v>
      </c>
      <c r="B1920" s="0" t="n">
        <v>31.907</v>
      </c>
      <c r="C1920" s="0" t="n">
        <v>20.263</v>
      </c>
      <c r="D1920" s="0" t="n">
        <v>11.368</v>
      </c>
      <c r="E1920" s="0" t="n">
        <v>29.595</v>
      </c>
      <c r="F1920" s="0" t="n">
        <v>0.0608</v>
      </c>
      <c r="G1920" s="12" t="n">
        <f aca="false">(A1920+(C1920*D1920*COS(RADIANS(E1920))^2-F1920*C1920*D1920)*TAN(RADIANS(B1920)))/(C1920*D1920*SIN(RADIANS(E1920))*COS(RADIANS(E1920)))</f>
        <v>1.07252813339993</v>
      </c>
    </row>
    <row r="1921" customFormat="false" ht="15" hidden="false" customHeight="false" outlineLevel="0" collapsed="false">
      <c r="A1921" s="0" t="n">
        <v>13.934</v>
      </c>
      <c r="B1921" s="0" t="n">
        <v>36.371</v>
      </c>
      <c r="C1921" s="0" t="n">
        <v>19.581</v>
      </c>
      <c r="D1921" s="0" t="n">
        <v>12.707</v>
      </c>
      <c r="E1921" s="0" t="n">
        <v>29.89</v>
      </c>
      <c r="F1921" s="0" t="n">
        <v>0.3429</v>
      </c>
      <c r="G1921" s="12" t="n">
        <f aca="false">(A1921+(C1921*D1921*COS(RADIANS(E1921))^2-F1921*C1921*D1921)*TAN(RADIANS(B1921)))/(C1921*D1921*SIN(RADIANS(E1921))*COS(RADIANS(E1921)))</f>
        <v>0.826401675050422</v>
      </c>
    </row>
    <row r="1922" customFormat="false" ht="15" hidden="false" customHeight="false" outlineLevel="0" collapsed="false">
      <c r="A1922" s="0" t="n">
        <v>12.674</v>
      </c>
      <c r="B1922" s="0" t="n">
        <v>33.757</v>
      </c>
      <c r="C1922" s="0" t="n">
        <v>21.227</v>
      </c>
      <c r="D1922" s="0" t="n">
        <v>11.15</v>
      </c>
      <c r="E1922" s="0" t="n">
        <v>25.56</v>
      </c>
      <c r="F1922" s="0" t="n">
        <v>0.0749</v>
      </c>
      <c r="G1922" s="12" t="n">
        <f aca="false">(A1922+(C1922*D1922*COS(RADIANS(E1922))^2-F1922*C1922*D1922)*TAN(RADIANS(B1922)))/(C1922*D1922*SIN(RADIANS(E1922))*COS(RADIANS(E1922)))</f>
        <v>1.40643206941097</v>
      </c>
    </row>
    <row r="1923" customFormat="false" ht="15" hidden="false" customHeight="false" outlineLevel="0" collapsed="false">
      <c r="A1923" s="0" t="n">
        <v>8.796</v>
      </c>
      <c r="B1923" s="0" t="n">
        <v>34.958</v>
      </c>
      <c r="C1923" s="0" t="n">
        <v>20.521</v>
      </c>
      <c r="D1923" s="0" t="n">
        <v>16.876</v>
      </c>
      <c r="E1923" s="0" t="n">
        <v>26.929</v>
      </c>
      <c r="F1923" s="0" t="n">
        <v>0.3526</v>
      </c>
      <c r="G1923" s="12" t="n">
        <f aca="false">(A1923+(C1923*D1923*COS(RADIANS(E1923))^2-F1923*C1923*D1923)*TAN(RADIANS(B1923)))/(C1923*D1923*SIN(RADIANS(E1923))*COS(RADIANS(E1923)))</f>
        <v>0.828705708327496</v>
      </c>
    </row>
    <row r="1924" customFormat="false" ht="15" hidden="false" customHeight="false" outlineLevel="0" collapsed="false">
      <c r="A1924" s="0" t="n">
        <v>16.812</v>
      </c>
      <c r="B1924" s="0" t="n">
        <v>33.863</v>
      </c>
      <c r="C1924" s="0" t="n">
        <v>19.354</v>
      </c>
      <c r="D1924" s="0" t="n">
        <v>19.81</v>
      </c>
      <c r="E1924" s="0" t="n">
        <v>27.514</v>
      </c>
      <c r="F1924" s="0" t="n">
        <v>0</v>
      </c>
      <c r="G1924" s="12" t="n">
        <f aca="false">(A1924+(C1924*D1924*COS(RADIANS(E1924))^2-F1924*C1924*D1924)*TAN(RADIANS(B1924)))/(C1924*D1924*SIN(RADIANS(E1924))*COS(RADIANS(E1924)))</f>
        <v>1.39530185408211</v>
      </c>
    </row>
    <row r="1925" customFormat="false" ht="15" hidden="false" customHeight="false" outlineLevel="0" collapsed="false">
      <c r="A1925" s="0" t="n">
        <v>13.2</v>
      </c>
      <c r="B1925" s="0" t="n">
        <v>33.596</v>
      </c>
      <c r="C1925" s="0" t="n">
        <v>19.13</v>
      </c>
      <c r="D1925" s="0" t="n">
        <v>16.643</v>
      </c>
      <c r="E1925" s="0" t="n">
        <v>26.225</v>
      </c>
      <c r="F1925" s="0" t="n">
        <v>0.1095</v>
      </c>
      <c r="G1925" s="12" t="n">
        <f aca="false">(A1925+(C1925*D1925*COS(RADIANS(E1925))^2-F1925*C1925*D1925)*TAN(RADIANS(B1925)))/(C1925*D1925*SIN(RADIANS(E1925))*COS(RADIANS(E1925)))</f>
        <v>1.26963566826067</v>
      </c>
    </row>
    <row r="1926" customFormat="false" ht="15" hidden="false" customHeight="false" outlineLevel="0" collapsed="false">
      <c r="A1926" s="0" t="n">
        <v>10.697</v>
      </c>
      <c r="B1926" s="0" t="n">
        <v>39.819</v>
      </c>
      <c r="C1926" s="0" t="n">
        <v>20.632</v>
      </c>
      <c r="D1926" s="0" t="n">
        <v>15.139</v>
      </c>
      <c r="E1926" s="0" t="n">
        <v>29.018</v>
      </c>
      <c r="F1926" s="0" t="n">
        <v>0.1081</v>
      </c>
      <c r="G1926" s="12" t="n">
        <f aca="false">(A1926+(C1926*D1926*COS(RADIANS(E1926))^2-F1926*C1926*D1926)*TAN(RADIANS(B1926)))/(C1926*D1926*SIN(RADIANS(E1926))*COS(RADIANS(E1926)))</f>
        <v>1.37124458977141</v>
      </c>
    </row>
    <row r="1927" customFormat="false" ht="15" hidden="false" customHeight="false" outlineLevel="0" collapsed="false">
      <c r="A1927" s="0" t="n">
        <v>12.782</v>
      </c>
      <c r="B1927" s="0" t="n">
        <v>38.208</v>
      </c>
      <c r="C1927" s="0" t="n">
        <v>21.082</v>
      </c>
      <c r="D1927" s="0" t="n">
        <v>18.88</v>
      </c>
      <c r="E1927" s="0" t="n">
        <v>30.967</v>
      </c>
      <c r="F1927" s="0" t="n">
        <v>0.1203</v>
      </c>
      <c r="G1927" s="12" t="n">
        <f aca="false">(A1927+(C1927*D1927*COS(RADIANS(E1927))^2-F1927*C1927*D1927)*TAN(RADIANS(B1927)))/(C1927*D1927*SIN(RADIANS(E1927))*COS(RADIANS(E1927)))</f>
        <v>1.16990494118056</v>
      </c>
    </row>
    <row r="1928" customFormat="false" ht="15" hidden="false" customHeight="false" outlineLevel="0" collapsed="false">
      <c r="A1928" s="0" t="n">
        <v>19.285</v>
      </c>
      <c r="B1928" s="0" t="n">
        <v>30.982</v>
      </c>
      <c r="C1928" s="0" t="n">
        <v>20.288</v>
      </c>
      <c r="D1928" s="0" t="n">
        <v>19.58</v>
      </c>
      <c r="E1928" s="0" t="n">
        <v>28.739</v>
      </c>
      <c r="F1928" s="0" t="n">
        <v>0.0697</v>
      </c>
      <c r="G1928" s="12" t="n">
        <f aca="false">(A1928+(C1928*D1928*COS(RADIANS(E1928))^2-F1928*C1928*D1928)*TAN(RADIANS(B1928)))/(C1928*D1928*SIN(RADIANS(E1928))*COS(RADIANS(E1928)))</f>
        <v>1.11082947049981</v>
      </c>
    </row>
    <row r="1929" customFormat="false" ht="15" hidden="false" customHeight="false" outlineLevel="0" collapsed="false">
      <c r="A1929" s="0" t="n">
        <v>17.412</v>
      </c>
      <c r="B1929" s="0" t="n">
        <v>34.318</v>
      </c>
      <c r="C1929" s="0" t="n">
        <v>20.68</v>
      </c>
      <c r="D1929" s="0" t="n">
        <v>12.892</v>
      </c>
      <c r="E1929" s="0" t="n">
        <v>29.151</v>
      </c>
      <c r="F1929" s="0" t="n">
        <v>0.2561</v>
      </c>
      <c r="G1929" s="12" t="n">
        <f aca="false">(A1929+(C1929*D1929*COS(RADIANS(E1929))^2-F1929*C1929*D1929)*TAN(RADIANS(B1929)))/(C1929*D1929*SIN(RADIANS(E1929))*COS(RADIANS(E1929)))</f>
        <v>0.966436670573382</v>
      </c>
    </row>
    <row r="1930" customFormat="false" ht="15" hidden="false" customHeight="false" outlineLevel="0" collapsed="false">
      <c r="A1930" s="0" t="n">
        <v>14.48</v>
      </c>
      <c r="B1930" s="0" t="n">
        <v>34.756</v>
      </c>
      <c r="C1930" s="0" t="n">
        <v>19.923</v>
      </c>
      <c r="D1930" s="0" t="n">
        <v>18.993</v>
      </c>
      <c r="E1930" s="0" t="n">
        <v>28.489</v>
      </c>
      <c r="F1930" s="0" t="n">
        <v>0.2268</v>
      </c>
      <c r="G1930" s="12" t="n">
        <f aca="false">(A1930+(C1930*D1930*COS(RADIANS(E1930))^2-F1930*C1930*D1930)*TAN(RADIANS(B1930)))/(C1930*D1930*SIN(RADIANS(E1930))*COS(RADIANS(E1930)))</f>
        <v>0.994448483580253</v>
      </c>
    </row>
    <row r="1931" customFormat="false" ht="15" hidden="false" customHeight="false" outlineLevel="0" collapsed="false">
      <c r="A1931" s="0" t="n">
        <v>17.476</v>
      </c>
      <c r="B1931" s="0" t="n">
        <v>39.218</v>
      </c>
      <c r="C1931" s="0" t="n">
        <v>21.711</v>
      </c>
      <c r="D1931" s="0" t="n">
        <v>15.764</v>
      </c>
      <c r="E1931" s="0" t="n">
        <v>25.438</v>
      </c>
      <c r="F1931" s="0" t="n">
        <v>0.039</v>
      </c>
      <c r="G1931" s="12" t="n">
        <f aca="false">(A1931+(C1931*D1931*COS(RADIANS(E1931))^2-F1931*C1931*D1931)*TAN(RADIANS(B1931)))/(C1931*D1931*SIN(RADIANS(E1931))*COS(RADIANS(E1931)))</f>
        <v>1.76535731137654</v>
      </c>
    </row>
    <row r="1932" customFormat="false" ht="15" hidden="false" customHeight="false" outlineLevel="0" collapsed="false">
      <c r="A1932" s="0" t="n">
        <v>10.356</v>
      </c>
      <c r="B1932" s="0" t="n">
        <v>31.655</v>
      </c>
      <c r="C1932" s="0" t="n">
        <v>20.411</v>
      </c>
      <c r="D1932" s="0" t="n">
        <v>19.265</v>
      </c>
      <c r="E1932" s="0" t="n">
        <v>30.272</v>
      </c>
      <c r="F1932" s="0" t="n">
        <v>0.2058</v>
      </c>
      <c r="G1932" s="12" t="n">
        <f aca="false">(A1932+(C1932*D1932*COS(RADIANS(E1932))^2-F1932*C1932*D1932)*TAN(RADIANS(B1932)))/(C1932*D1932*SIN(RADIANS(E1932))*COS(RADIANS(E1932)))</f>
        <v>0.825302995513281</v>
      </c>
    </row>
    <row r="1933" customFormat="false" ht="15" hidden="false" customHeight="false" outlineLevel="0" collapsed="false">
      <c r="A1933" s="0" t="n">
        <v>15.129</v>
      </c>
      <c r="B1933" s="0" t="n">
        <v>33.044</v>
      </c>
      <c r="C1933" s="0" t="n">
        <v>20.565</v>
      </c>
      <c r="D1933" s="0" t="n">
        <v>8.111</v>
      </c>
      <c r="E1933" s="0" t="n">
        <v>30.537</v>
      </c>
      <c r="F1933" s="0" t="n">
        <v>0.2035</v>
      </c>
      <c r="G1933" s="12" t="n">
        <f aca="false">(A1933+(C1933*D1933*COS(RADIANS(E1933))^2-F1933*C1933*D1933)*TAN(RADIANS(B1933)))/(C1933*D1933*SIN(RADIANS(E1933))*COS(RADIANS(E1933)))</f>
        <v>1.00746627815161</v>
      </c>
    </row>
    <row r="1934" customFormat="false" ht="15" hidden="false" customHeight="false" outlineLevel="0" collapsed="false">
      <c r="A1934" s="0" t="n">
        <v>15.589</v>
      </c>
      <c r="B1934" s="0" t="n">
        <v>32.864</v>
      </c>
      <c r="C1934" s="0" t="n">
        <v>20.567</v>
      </c>
      <c r="D1934" s="0" t="n">
        <v>8.726</v>
      </c>
      <c r="E1934" s="0" t="n">
        <v>25.604</v>
      </c>
      <c r="F1934" s="0" t="n">
        <v>0</v>
      </c>
      <c r="G1934" s="12" t="n">
        <f aca="false">(A1934+(C1934*D1934*COS(RADIANS(E1934))^2-F1934*C1934*D1934)*TAN(RADIANS(B1934)))/(C1934*D1934*SIN(RADIANS(E1934))*COS(RADIANS(E1934)))</f>
        <v>1.57103240159992</v>
      </c>
    </row>
    <row r="1935" customFormat="false" ht="15" hidden="false" customHeight="false" outlineLevel="0" collapsed="false">
      <c r="A1935" s="0" t="n">
        <v>13.121</v>
      </c>
      <c r="B1935" s="0" t="n">
        <v>29.198</v>
      </c>
      <c r="C1935" s="0" t="n">
        <v>20.518</v>
      </c>
      <c r="D1935" s="0" t="n">
        <v>14.07</v>
      </c>
      <c r="E1935" s="0" t="n">
        <v>27.818</v>
      </c>
      <c r="F1935" s="0" t="n">
        <v>0.2037</v>
      </c>
      <c r="G1935" s="12" t="n">
        <f aca="false">(A1935+(C1935*D1935*COS(RADIANS(E1935))^2-F1935*C1935*D1935)*TAN(RADIANS(B1935)))/(C1935*D1935*SIN(RADIANS(E1935))*COS(RADIANS(E1935)))</f>
        <v>0.893432650971361</v>
      </c>
    </row>
    <row r="1936" customFormat="false" ht="15" hidden="false" customHeight="false" outlineLevel="0" collapsed="false">
      <c r="A1936" s="0" t="n">
        <v>16.742</v>
      </c>
      <c r="B1936" s="0" t="n">
        <v>29.233</v>
      </c>
      <c r="C1936" s="0" t="n">
        <v>20.896</v>
      </c>
      <c r="D1936" s="0" t="n">
        <v>17.327</v>
      </c>
      <c r="E1936" s="0" t="n">
        <v>30.137</v>
      </c>
      <c r="F1936" s="0" t="n">
        <v>0.2079</v>
      </c>
      <c r="G1936" s="12" t="n">
        <f aca="false">(A1936+(C1936*D1936*COS(RADIANS(E1936))^2-F1936*C1936*D1936)*TAN(RADIANS(B1936)))/(C1936*D1936*SIN(RADIANS(E1936))*COS(RADIANS(E1936)))</f>
        <v>0.802525419530935</v>
      </c>
    </row>
    <row r="1937" customFormat="false" ht="15" hidden="false" customHeight="false" outlineLevel="0" collapsed="false">
      <c r="A1937" s="0" t="n">
        <v>11.878</v>
      </c>
      <c r="B1937" s="0" t="n">
        <v>35.826</v>
      </c>
      <c r="C1937" s="0" t="n">
        <v>18.16</v>
      </c>
      <c r="D1937" s="0" t="n">
        <v>9.305</v>
      </c>
      <c r="E1937" s="0" t="n">
        <v>30.522</v>
      </c>
      <c r="F1937" s="0" t="n">
        <v>0.1824</v>
      </c>
      <c r="G1937" s="12" t="n">
        <f aca="false">(A1937+(C1937*D1937*COS(RADIANS(E1937))^2-F1937*C1937*D1937)*TAN(RADIANS(B1937)))/(C1937*D1937*SIN(RADIANS(E1937))*COS(RADIANS(E1937)))</f>
        <v>1.08418162136194</v>
      </c>
    </row>
    <row r="1938" customFormat="false" ht="15" hidden="false" customHeight="false" outlineLevel="0" collapsed="false">
      <c r="A1938" s="0" t="n">
        <v>17.039</v>
      </c>
      <c r="B1938" s="0" t="n">
        <v>32.801</v>
      </c>
      <c r="C1938" s="0" t="n">
        <v>19.217</v>
      </c>
      <c r="D1938" s="0" t="n">
        <v>14.921</v>
      </c>
      <c r="E1938" s="0" t="n">
        <v>26.239</v>
      </c>
      <c r="F1938" s="0" t="n">
        <v>0.2907</v>
      </c>
      <c r="G1938" s="12" t="n">
        <f aca="false">(A1938+(C1938*D1938*COS(RADIANS(E1938))^2-F1938*C1938*D1938)*TAN(RADIANS(B1938)))/(C1938*D1938*SIN(RADIANS(E1938))*COS(RADIANS(E1938)))</f>
        <v>0.984919102417081</v>
      </c>
    </row>
    <row r="1939" customFormat="false" ht="15" hidden="false" customHeight="false" outlineLevel="0" collapsed="false">
      <c r="A1939" s="0" t="n">
        <v>17.207</v>
      </c>
      <c r="B1939" s="0" t="n">
        <v>35.724</v>
      </c>
      <c r="C1939" s="0" t="n">
        <v>20.671</v>
      </c>
      <c r="D1939" s="0" t="n">
        <v>13.934</v>
      </c>
      <c r="E1939" s="0" t="n">
        <v>28.999</v>
      </c>
      <c r="F1939" s="0" t="n">
        <v>0.2523</v>
      </c>
      <c r="G1939" s="12" t="n">
        <f aca="false">(A1939+(C1939*D1939*COS(RADIANS(E1939))^2-F1939*C1939*D1939)*TAN(RADIANS(B1939)))/(C1939*D1939*SIN(RADIANS(E1939))*COS(RADIANS(E1939)))</f>
        <v>1.01048371074736</v>
      </c>
    </row>
    <row r="1940" customFormat="false" ht="15" hidden="false" customHeight="false" outlineLevel="0" collapsed="false">
      <c r="A1940" s="0" t="n">
        <v>3.331</v>
      </c>
      <c r="B1940" s="0" t="n">
        <v>30.202</v>
      </c>
      <c r="C1940" s="0" t="n">
        <v>19.62</v>
      </c>
      <c r="D1940" s="0" t="n">
        <v>11.586</v>
      </c>
      <c r="E1940" s="0" t="n">
        <v>29.85</v>
      </c>
      <c r="F1940" s="0" t="n">
        <v>0.2245</v>
      </c>
      <c r="G1940" s="12" t="n">
        <f aca="false">(A1940+(C1940*D1940*COS(RADIANS(E1940))^2-F1940*C1940*D1940)*TAN(RADIANS(B1940)))/(C1940*D1940*SIN(RADIANS(E1940))*COS(RADIANS(E1940)))</f>
        <v>0.745530971294563</v>
      </c>
    </row>
    <row r="1941" customFormat="false" ht="15" hidden="false" customHeight="false" outlineLevel="0" collapsed="false">
      <c r="A1941" s="0" t="n">
        <v>19.761</v>
      </c>
      <c r="B1941" s="0" t="n">
        <v>31.6</v>
      </c>
      <c r="C1941" s="0" t="n">
        <v>20.529</v>
      </c>
      <c r="D1941" s="0" t="n">
        <v>16.678</v>
      </c>
      <c r="E1941" s="0" t="n">
        <v>27.776</v>
      </c>
      <c r="F1941" s="0" t="n">
        <v>0.2641</v>
      </c>
      <c r="G1941" s="12" t="n">
        <f aca="false">(A1941+(C1941*D1941*COS(RADIANS(E1941))^2-F1941*C1941*D1941)*TAN(RADIANS(B1941)))/(C1941*D1941*SIN(RADIANS(E1941))*COS(RADIANS(E1941)))</f>
        <v>0.913951283786544</v>
      </c>
    </row>
    <row r="1942" customFormat="false" ht="15" hidden="false" customHeight="false" outlineLevel="0" collapsed="false">
      <c r="A1942" s="0" t="n">
        <v>2.809</v>
      </c>
      <c r="B1942" s="0" t="n">
        <v>33.73</v>
      </c>
      <c r="C1942" s="0" t="n">
        <v>20.411</v>
      </c>
      <c r="D1942" s="0" t="n">
        <v>12.772</v>
      </c>
      <c r="E1942" s="0" t="n">
        <v>29.277</v>
      </c>
      <c r="F1942" s="0" t="n">
        <v>0.1126</v>
      </c>
      <c r="G1942" s="12" t="n">
        <f aca="false">(A1942+(C1942*D1942*COS(RADIANS(E1942))^2-F1942*C1942*D1942)*TAN(RADIANS(B1942)))/(C1942*D1942*SIN(RADIANS(E1942))*COS(RADIANS(E1942)))</f>
        <v>1.03991638802867</v>
      </c>
    </row>
    <row r="1943" customFormat="false" ht="15" hidden="false" customHeight="false" outlineLevel="0" collapsed="false">
      <c r="A1943" s="0" t="n">
        <v>12.536</v>
      </c>
      <c r="B1943" s="0" t="n">
        <v>30.545</v>
      </c>
      <c r="C1943" s="0" t="n">
        <v>19.649</v>
      </c>
      <c r="D1943" s="0" t="n">
        <v>11.265</v>
      </c>
      <c r="E1943" s="0" t="n">
        <v>28.504</v>
      </c>
      <c r="F1943" s="0" t="n">
        <v>0.1048</v>
      </c>
      <c r="G1943" s="12" t="n">
        <f aca="false">(A1943+(C1943*D1943*COS(RADIANS(E1943))^2-F1943*C1943*D1943)*TAN(RADIANS(B1943)))/(C1943*D1943*SIN(RADIANS(E1943))*COS(RADIANS(E1943)))</f>
        <v>1.07423698617929</v>
      </c>
    </row>
    <row r="1944" customFormat="false" ht="15" hidden="false" customHeight="false" outlineLevel="0" collapsed="false">
      <c r="A1944" s="0" t="n">
        <v>19.101</v>
      </c>
      <c r="B1944" s="0" t="n">
        <v>34.098</v>
      </c>
      <c r="C1944" s="0" t="n">
        <v>21.095</v>
      </c>
      <c r="D1944" s="0" t="n">
        <v>14.041</v>
      </c>
      <c r="E1944" s="0" t="n">
        <v>27.014</v>
      </c>
      <c r="F1944" s="0" t="n">
        <v>0.1679</v>
      </c>
      <c r="G1944" s="12" t="n">
        <f aca="false">(A1944+(C1944*D1944*COS(RADIANS(E1944))^2-F1944*C1944*D1944)*TAN(RADIANS(B1944)))/(C1944*D1944*SIN(RADIANS(E1944))*COS(RADIANS(E1944)))</f>
        <v>1.20634769719031</v>
      </c>
    </row>
    <row r="1945" customFormat="false" ht="15" hidden="false" customHeight="false" outlineLevel="0" collapsed="false">
      <c r="A1945" s="0" t="n">
        <v>13.731</v>
      </c>
      <c r="B1945" s="0" t="n">
        <v>34.054</v>
      </c>
      <c r="C1945" s="0" t="n">
        <v>19.67</v>
      </c>
      <c r="D1945" s="0" t="n">
        <v>10.804</v>
      </c>
      <c r="E1945" s="0" t="n">
        <v>27.49</v>
      </c>
      <c r="F1945" s="0" t="n">
        <v>0.2052</v>
      </c>
      <c r="G1945" s="12" t="n">
        <f aca="false">(A1945+(C1945*D1945*COS(RADIANS(E1945))^2-F1945*C1945*D1945)*TAN(RADIANS(B1945)))/(C1945*D1945*SIN(RADIANS(E1945))*COS(RADIANS(E1945)))</f>
        <v>1.11799709149012</v>
      </c>
    </row>
    <row r="1946" customFormat="false" ht="15" hidden="false" customHeight="false" outlineLevel="0" collapsed="false">
      <c r="A1946" s="0" t="n">
        <v>9.135</v>
      </c>
      <c r="B1946" s="0" t="n">
        <v>33.792</v>
      </c>
      <c r="C1946" s="0" t="n">
        <v>20.649</v>
      </c>
      <c r="D1946" s="0" t="n">
        <v>16.287</v>
      </c>
      <c r="E1946" s="0" t="n">
        <v>29.419</v>
      </c>
      <c r="F1946" s="0" t="n">
        <v>0.1964</v>
      </c>
      <c r="G1946" s="12" t="n">
        <f aca="false">(A1946+(C1946*D1946*COS(RADIANS(E1946))^2-F1946*C1946*D1946)*TAN(RADIANS(B1946)))/(C1946*D1946*SIN(RADIANS(E1946))*COS(RADIANS(E1946)))</f>
        <v>0.943069093495957</v>
      </c>
    </row>
    <row r="1947" customFormat="false" ht="15" hidden="false" customHeight="false" outlineLevel="0" collapsed="false">
      <c r="A1947" s="0" t="n">
        <v>10.625</v>
      </c>
      <c r="B1947" s="0" t="n">
        <v>30.88</v>
      </c>
      <c r="C1947" s="0" t="n">
        <v>20.749</v>
      </c>
      <c r="D1947" s="0" t="n">
        <v>17.126</v>
      </c>
      <c r="E1947" s="0" t="n">
        <v>27.636</v>
      </c>
      <c r="F1947" s="0" t="n">
        <v>0.1429</v>
      </c>
      <c r="G1947" s="12" t="n">
        <f aca="false">(A1947+(C1947*D1947*COS(RADIANS(E1947))^2-F1947*C1947*D1947)*TAN(RADIANS(B1947)))/(C1947*D1947*SIN(RADIANS(E1947))*COS(RADIANS(E1947)))</f>
        <v>1.00695175206965</v>
      </c>
    </row>
    <row r="1948" customFormat="false" ht="15" hidden="false" customHeight="false" outlineLevel="0" collapsed="false">
      <c r="A1948" s="0" t="n">
        <v>19.108</v>
      </c>
      <c r="B1948" s="0" t="n">
        <v>38.517</v>
      </c>
      <c r="C1948" s="0" t="n">
        <v>19.069</v>
      </c>
      <c r="D1948" s="0" t="n">
        <v>16.374</v>
      </c>
      <c r="E1948" s="0" t="n">
        <v>25.106</v>
      </c>
      <c r="F1948" s="0" t="n">
        <v>0.2178</v>
      </c>
      <c r="G1948" s="12" t="n">
        <f aca="false">(A1948+(C1948*D1948*COS(RADIANS(E1948))^2-F1948*C1948*D1948)*TAN(RADIANS(B1948)))/(C1948*D1948*SIN(RADIANS(E1948))*COS(RADIANS(E1948)))</f>
        <v>1.40673581398214</v>
      </c>
    </row>
    <row r="1949" customFormat="false" ht="15" hidden="false" customHeight="false" outlineLevel="0" collapsed="false">
      <c r="A1949" s="0" t="n">
        <v>7.314</v>
      </c>
      <c r="B1949" s="0" t="n">
        <v>31.36</v>
      </c>
      <c r="C1949" s="0" t="n">
        <v>20.143</v>
      </c>
      <c r="D1949" s="0" t="n">
        <v>15.039</v>
      </c>
      <c r="E1949" s="0" t="n">
        <v>29.916</v>
      </c>
      <c r="F1949" s="0" t="n">
        <v>0.1503</v>
      </c>
      <c r="G1949" s="12" t="n">
        <f aca="false">(A1949+(C1949*D1949*COS(RADIANS(E1949))^2-F1949*C1949*D1949)*TAN(RADIANS(B1949)))/(C1949*D1949*SIN(RADIANS(E1949))*COS(RADIANS(E1949)))</f>
        <v>0.903125952707806</v>
      </c>
    </row>
    <row r="1950" customFormat="false" ht="15" hidden="false" customHeight="false" outlineLevel="0" collapsed="false">
      <c r="A1950" s="0" t="n">
        <v>19.516</v>
      </c>
      <c r="B1950" s="0" t="n">
        <v>34.455</v>
      </c>
      <c r="C1950" s="0" t="n">
        <v>20.849</v>
      </c>
      <c r="D1950" s="0" t="n">
        <v>15.12</v>
      </c>
      <c r="E1950" s="0" t="n">
        <v>29.575</v>
      </c>
      <c r="F1950" s="0" t="n">
        <v>0.15</v>
      </c>
      <c r="G1950" s="12" t="n">
        <f aca="false">(A1950+(C1950*D1950*COS(RADIANS(E1950))^2-F1950*C1950*D1950)*TAN(RADIANS(B1950)))/(C1950*D1950*SIN(RADIANS(E1950))*COS(RADIANS(E1950)))</f>
        <v>1.11348998428067</v>
      </c>
    </row>
    <row r="1951" customFormat="false" ht="15" hidden="false" customHeight="false" outlineLevel="0" collapsed="false">
      <c r="A1951" s="0" t="n">
        <v>14.78</v>
      </c>
      <c r="B1951" s="0" t="n">
        <v>34.473</v>
      </c>
      <c r="C1951" s="0" t="n">
        <v>18.767</v>
      </c>
      <c r="D1951" s="0" t="n">
        <v>10.01</v>
      </c>
      <c r="E1951" s="0" t="n">
        <v>27.653</v>
      </c>
      <c r="F1951" s="0" t="n">
        <v>0.279</v>
      </c>
      <c r="G1951" s="12" t="n">
        <f aca="false">(A1951+(C1951*D1951*COS(RADIANS(E1951))^2-F1951*C1951*D1951)*TAN(RADIANS(B1951)))/(C1951*D1951*SIN(RADIANS(E1951))*COS(RADIANS(E1951)))</f>
        <v>1.03578448704603</v>
      </c>
    </row>
    <row r="1952" customFormat="false" ht="15" hidden="false" customHeight="false" outlineLevel="0" collapsed="false">
      <c r="A1952" s="0" t="n">
        <v>10.23</v>
      </c>
      <c r="B1952" s="0" t="n">
        <v>35.08</v>
      </c>
      <c r="C1952" s="0" t="n">
        <v>19.284</v>
      </c>
      <c r="D1952" s="0" t="n">
        <v>12.994</v>
      </c>
      <c r="E1952" s="0" t="n">
        <v>27.13</v>
      </c>
      <c r="F1952" s="0" t="n">
        <v>0.1132</v>
      </c>
      <c r="G1952" s="12" t="n">
        <f aca="false">(A1952+(C1952*D1952*COS(RADIANS(E1952))^2-F1952*C1952*D1952)*TAN(RADIANS(B1952)))/(C1952*D1952*SIN(RADIANS(E1952))*COS(RADIANS(E1952)))</f>
        <v>1.27533298326684</v>
      </c>
    </row>
    <row r="1953" customFormat="false" ht="15" hidden="false" customHeight="false" outlineLevel="0" collapsed="false">
      <c r="A1953" s="0" t="n">
        <v>12.668</v>
      </c>
      <c r="B1953" s="0" t="n">
        <v>30.831</v>
      </c>
      <c r="C1953" s="0" t="n">
        <v>19.041</v>
      </c>
      <c r="D1953" s="0" t="n">
        <v>13.866</v>
      </c>
      <c r="E1953" s="0" t="n">
        <v>26.127</v>
      </c>
      <c r="F1953" s="0" t="n">
        <v>0.1178</v>
      </c>
      <c r="G1953" s="12" t="n">
        <f aca="false">(A1953+(C1953*D1953*COS(RADIANS(E1953))^2-F1953*C1953*D1953)*TAN(RADIANS(B1953)))/(C1953*D1953*SIN(RADIANS(E1953))*COS(RADIANS(E1953)))</f>
        <v>1.16040153944912</v>
      </c>
    </row>
    <row r="1954" customFormat="false" ht="15" hidden="false" customHeight="false" outlineLevel="0" collapsed="false">
      <c r="A1954" s="0" t="n">
        <v>10.931</v>
      </c>
      <c r="B1954" s="0" t="n">
        <v>35.8</v>
      </c>
      <c r="C1954" s="0" t="n">
        <v>21.297</v>
      </c>
      <c r="D1954" s="0" t="n">
        <v>17.362</v>
      </c>
      <c r="E1954" s="0" t="n">
        <v>27.272</v>
      </c>
      <c r="F1954" s="0" t="n">
        <v>0.1239</v>
      </c>
      <c r="G1954" s="12" t="n">
        <f aca="false">(A1954+(C1954*D1954*COS(RADIANS(E1954))^2-F1954*C1954*D1954)*TAN(RADIANS(B1954)))/(C1954*D1954*SIN(RADIANS(E1954))*COS(RADIANS(E1954)))</f>
        <v>1.25220050262651</v>
      </c>
    </row>
    <row r="1955" customFormat="false" ht="15" hidden="false" customHeight="false" outlineLevel="0" collapsed="false">
      <c r="A1955" s="0" t="n">
        <v>18.465</v>
      </c>
      <c r="B1955" s="0" t="n">
        <v>32.882</v>
      </c>
      <c r="C1955" s="0" t="n">
        <v>20.272</v>
      </c>
      <c r="D1955" s="0" t="n">
        <v>14.184</v>
      </c>
      <c r="E1955" s="0" t="n">
        <v>23.486</v>
      </c>
      <c r="F1955" s="0" t="n">
        <v>0.1739</v>
      </c>
      <c r="G1955" s="12" t="n">
        <f aca="false">(A1955+(C1955*D1955*COS(RADIANS(E1955))^2-F1955*C1955*D1955)*TAN(RADIANS(B1955)))/(C1955*D1955*SIN(RADIANS(E1955))*COS(RADIANS(E1955)))</f>
        <v>1.35591764135903</v>
      </c>
    </row>
    <row r="1956" customFormat="false" ht="15" hidden="false" customHeight="false" outlineLevel="0" collapsed="false">
      <c r="A1956" s="0" t="n">
        <v>17.93</v>
      </c>
      <c r="B1956" s="0" t="n">
        <v>36.574</v>
      </c>
      <c r="C1956" s="0" t="n">
        <v>21.209</v>
      </c>
      <c r="D1956" s="0" t="n">
        <v>14.682</v>
      </c>
      <c r="E1956" s="0" t="n">
        <v>25.788</v>
      </c>
      <c r="F1956" s="0" t="n">
        <v>0.1643</v>
      </c>
      <c r="G1956" s="12" t="n">
        <f aca="false">(A1956+(C1956*D1956*COS(RADIANS(E1956))^2-F1956*C1956*D1956)*TAN(RADIANS(B1956)))/(C1956*D1956*SIN(RADIANS(E1956))*COS(RADIANS(E1956)))</f>
        <v>1.37143196334013</v>
      </c>
    </row>
    <row r="1957" customFormat="false" ht="15" hidden="false" customHeight="false" outlineLevel="0" collapsed="false">
      <c r="A1957" s="0" t="n">
        <v>8.123</v>
      </c>
      <c r="B1957" s="0" t="n">
        <v>37.694</v>
      </c>
      <c r="C1957" s="0" t="n">
        <v>19.626</v>
      </c>
      <c r="D1957" s="0" t="n">
        <v>16.907</v>
      </c>
      <c r="E1957" s="0" t="n">
        <v>24.283</v>
      </c>
      <c r="F1957" s="0" t="n">
        <v>0.1435</v>
      </c>
      <c r="G1957" s="12" t="n">
        <f aca="false">(A1957+(C1957*D1957*COS(RADIANS(E1957))^2-F1957*C1957*D1957)*TAN(RADIANS(B1957)))/(C1957*D1957*SIN(RADIANS(E1957))*COS(RADIANS(E1957)))</f>
        <v>1.48224121264586</v>
      </c>
    </row>
    <row r="1958" customFormat="false" ht="15" hidden="false" customHeight="false" outlineLevel="0" collapsed="false">
      <c r="A1958" s="0" t="n">
        <v>13.386</v>
      </c>
      <c r="B1958" s="0" t="n">
        <v>35.127</v>
      </c>
      <c r="C1958" s="0" t="n">
        <v>21.645</v>
      </c>
      <c r="D1958" s="0" t="n">
        <v>11.733</v>
      </c>
      <c r="E1958" s="0" t="n">
        <v>31.802</v>
      </c>
      <c r="F1958" s="0" t="n">
        <v>0.1689</v>
      </c>
      <c r="G1958" s="12" t="n">
        <f aca="false">(A1958+(C1958*D1958*COS(RADIANS(E1958))^2-F1958*C1958*D1958)*TAN(RADIANS(B1958)))/(C1958*D1958*SIN(RADIANS(E1958))*COS(RADIANS(E1958)))</f>
        <v>0.986946393056942</v>
      </c>
    </row>
    <row r="1959" customFormat="false" ht="15" hidden="false" customHeight="false" outlineLevel="0" collapsed="false">
      <c r="A1959" s="0" t="n">
        <v>11.547</v>
      </c>
      <c r="B1959" s="0" t="n">
        <v>33.268</v>
      </c>
      <c r="C1959" s="0" t="n">
        <v>19.674</v>
      </c>
      <c r="D1959" s="0" t="n">
        <v>16.238</v>
      </c>
      <c r="E1959" s="0" t="n">
        <v>27.22</v>
      </c>
      <c r="F1959" s="0" t="n">
        <v>0.1723</v>
      </c>
      <c r="G1959" s="12" t="n">
        <f aca="false">(A1959+(C1959*D1959*COS(RADIANS(E1959))^2-F1959*C1959*D1959)*TAN(RADIANS(B1959)))/(C1959*D1959*SIN(RADIANS(E1959))*COS(RADIANS(E1959)))</f>
        <v>1.08644232612962</v>
      </c>
    </row>
    <row r="1960" customFormat="false" ht="15" hidden="false" customHeight="false" outlineLevel="0" collapsed="false">
      <c r="A1960" s="0" t="n">
        <v>20.174</v>
      </c>
      <c r="B1960" s="0" t="n">
        <v>39.791</v>
      </c>
      <c r="C1960" s="0" t="n">
        <v>18.588</v>
      </c>
      <c r="D1960" s="0" t="n">
        <v>9.972</v>
      </c>
      <c r="E1960" s="0" t="n">
        <v>22.235</v>
      </c>
      <c r="F1960" s="0" t="n">
        <v>0.0474</v>
      </c>
      <c r="G1960" s="12" t="n">
        <f aca="false">(A1960+(C1960*D1960*COS(RADIANS(E1960))^2-F1960*C1960*D1960)*TAN(RADIANS(B1960)))/(C1960*D1960*SIN(RADIANS(E1960))*COS(RADIANS(E1960)))</f>
        <v>2.23541963412172</v>
      </c>
    </row>
    <row r="1961" customFormat="false" ht="15" hidden="false" customHeight="false" outlineLevel="0" collapsed="false">
      <c r="A1961" s="0" t="n">
        <v>9.6</v>
      </c>
      <c r="B1961" s="0" t="n">
        <v>36.223</v>
      </c>
      <c r="C1961" s="0" t="n">
        <v>18.604</v>
      </c>
      <c r="D1961" s="0" t="n">
        <v>17.558</v>
      </c>
      <c r="E1961" s="0" t="n">
        <v>30.597</v>
      </c>
      <c r="F1961" s="0" t="n">
        <v>0.179</v>
      </c>
      <c r="G1961" s="12" t="n">
        <f aca="false">(A1961+(C1961*D1961*COS(RADIANS(E1961))^2-F1961*C1961*D1961)*TAN(RADIANS(B1961)))/(C1961*D1961*SIN(RADIANS(E1961))*COS(RADIANS(E1961)))</f>
        <v>1.00655742015109</v>
      </c>
    </row>
    <row r="1962" customFormat="false" ht="15" hidden="false" customHeight="false" outlineLevel="0" collapsed="false">
      <c r="A1962" s="0" t="n">
        <v>21.417</v>
      </c>
      <c r="B1962" s="0" t="n">
        <v>32.641</v>
      </c>
      <c r="C1962" s="0" t="n">
        <v>19.374</v>
      </c>
      <c r="D1962" s="0" t="n">
        <v>11.391</v>
      </c>
      <c r="E1962" s="0" t="n">
        <v>27.159</v>
      </c>
      <c r="F1962" s="0" t="n">
        <v>0.2387</v>
      </c>
      <c r="G1962" s="12" t="n">
        <f aca="false">(A1962+(C1962*D1962*COS(RADIANS(E1962))^2-F1962*C1962*D1962)*TAN(RADIANS(B1962)))/(C1962*D1962*SIN(RADIANS(E1962))*COS(RADIANS(E1962)))</f>
        <v>1.11102791156145</v>
      </c>
    </row>
    <row r="1963" customFormat="false" ht="15" hidden="false" customHeight="false" outlineLevel="0" collapsed="false">
      <c r="A1963" s="0" t="n">
        <v>14.867</v>
      </c>
      <c r="B1963" s="0" t="n">
        <v>31.561</v>
      </c>
      <c r="C1963" s="0" t="n">
        <v>19.855</v>
      </c>
      <c r="D1963" s="0" t="n">
        <v>11.663</v>
      </c>
      <c r="E1963" s="0" t="n">
        <v>30.443</v>
      </c>
      <c r="F1963" s="0" t="n">
        <v>0.1235</v>
      </c>
      <c r="G1963" s="12" t="n">
        <f aca="false">(A1963+(C1963*D1963*COS(RADIANS(E1963))^2-F1963*C1963*D1963)*TAN(RADIANS(B1963)))/(C1963*D1963*SIN(RADIANS(E1963))*COS(RADIANS(E1963)))</f>
        <v>1.01849934735791</v>
      </c>
    </row>
    <row r="1964" customFormat="false" ht="15" hidden="false" customHeight="false" outlineLevel="0" collapsed="false">
      <c r="A1964" s="0" t="n">
        <v>10.352</v>
      </c>
      <c r="B1964" s="0" t="n">
        <v>36.118</v>
      </c>
      <c r="C1964" s="0" t="n">
        <v>19.739</v>
      </c>
      <c r="D1964" s="0" t="n">
        <v>15.587</v>
      </c>
      <c r="E1964" s="0" t="n">
        <v>26.95</v>
      </c>
      <c r="F1964" s="0" t="n">
        <v>0.1371</v>
      </c>
      <c r="G1964" s="12" t="n">
        <f aca="false">(A1964+(C1964*D1964*COS(RADIANS(E1964))^2-F1964*C1964*D1964)*TAN(RADIANS(B1964)))/(C1964*D1964*SIN(RADIANS(E1964))*COS(RADIANS(E1964)))</f>
        <v>1.27085410743975</v>
      </c>
    </row>
    <row r="1965" customFormat="false" ht="15" hidden="false" customHeight="false" outlineLevel="0" collapsed="false">
      <c r="A1965" s="0" t="n">
        <v>12.291</v>
      </c>
      <c r="B1965" s="0" t="n">
        <v>33.985</v>
      </c>
      <c r="C1965" s="0" t="n">
        <v>19.919</v>
      </c>
      <c r="D1965" s="0" t="n">
        <v>20.467</v>
      </c>
      <c r="E1965" s="0" t="n">
        <v>26.075</v>
      </c>
      <c r="F1965" s="0" t="n">
        <v>0.0921</v>
      </c>
      <c r="G1965" s="12" t="n">
        <f aca="false">(A1965+(C1965*D1965*COS(RADIANS(E1965))^2-F1965*C1965*D1965)*TAN(RADIANS(B1965)))/(C1965*D1965*SIN(RADIANS(E1965))*COS(RADIANS(E1965)))</f>
        <v>1.29669057602096</v>
      </c>
    </row>
    <row r="1966" customFormat="false" ht="15" hidden="false" customHeight="false" outlineLevel="0" collapsed="false">
      <c r="A1966" s="0" t="n">
        <v>11.794</v>
      </c>
      <c r="B1966" s="0" t="n">
        <v>31.674</v>
      </c>
      <c r="C1966" s="0" t="n">
        <v>19.638</v>
      </c>
      <c r="D1966" s="0" t="n">
        <v>13.848</v>
      </c>
      <c r="E1966" s="0" t="n">
        <v>29.014</v>
      </c>
      <c r="F1966" s="0" t="n">
        <v>0.1468</v>
      </c>
      <c r="G1966" s="12" t="n">
        <f aca="false">(A1966+(C1966*D1966*COS(RADIANS(E1966))^2-F1966*C1966*D1966)*TAN(RADIANS(B1966)))/(C1966*D1966*SIN(RADIANS(E1966))*COS(RADIANS(E1966)))</f>
        <v>1.00113910839197</v>
      </c>
    </row>
    <row r="1967" customFormat="false" ht="15" hidden="false" customHeight="false" outlineLevel="0" collapsed="false">
      <c r="A1967" s="0" t="n">
        <v>9.902</v>
      </c>
      <c r="B1967" s="0" t="n">
        <v>35.233</v>
      </c>
      <c r="C1967" s="0" t="n">
        <v>20.418</v>
      </c>
      <c r="D1967" s="0" t="n">
        <v>15.099</v>
      </c>
      <c r="E1967" s="0" t="n">
        <v>28.988</v>
      </c>
      <c r="F1967" s="0" t="n">
        <v>0.1533</v>
      </c>
      <c r="G1967" s="12" t="n">
        <f aca="false">(A1967+(C1967*D1967*COS(RADIANS(E1967))^2-F1967*C1967*D1967)*TAN(RADIANS(B1967)))/(C1967*D1967*SIN(RADIANS(E1967))*COS(RADIANS(E1967)))</f>
        <v>1.09515534161593</v>
      </c>
    </row>
    <row r="1968" customFormat="false" ht="15" hidden="false" customHeight="false" outlineLevel="0" collapsed="false">
      <c r="A1968" s="0" t="n">
        <v>15.379</v>
      </c>
      <c r="B1968" s="0" t="n">
        <v>31.223</v>
      </c>
      <c r="C1968" s="0" t="n">
        <v>18.357</v>
      </c>
      <c r="D1968" s="0" t="n">
        <v>13.308</v>
      </c>
      <c r="E1968" s="0" t="n">
        <v>26.66</v>
      </c>
      <c r="F1968" s="0" t="n">
        <v>0.2679</v>
      </c>
      <c r="G1968" s="12" t="n">
        <f aca="false">(A1968+(C1968*D1968*COS(RADIANS(E1968))^2-F1968*C1968*D1968)*TAN(RADIANS(B1968)))/(C1968*D1968*SIN(RADIANS(E1968))*COS(RADIANS(E1968)))</f>
        <v>0.959348562447529</v>
      </c>
    </row>
    <row r="1969" customFormat="false" ht="15" hidden="false" customHeight="false" outlineLevel="0" collapsed="false">
      <c r="A1969" s="0" t="n">
        <v>10.088</v>
      </c>
      <c r="B1969" s="0" t="n">
        <v>35.233</v>
      </c>
      <c r="C1969" s="0" t="n">
        <v>18.831</v>
      </c>
      <c r="D1969" s="0" t="n">
        <v>12.28</v>
      </c>
      <c r="E1969" s="0" t="n">
        <v>28.4</v>
      </c>
      <c r="F1969" s="0" t="n">
        <v>0.193</v>
      </c>
      <c r="G1969" s="12" t="n">
        <f aca="false">(A1969+(C1969*D1969*COS(RADIANS(E1969))^2-F1969*C1969*D1969)*TAN(RADIANS(B1969)))/(C1969*D1969*SIN(RADIANS(E1969))*COS(RADIANS(E1969)))</f>
        <v>1.08470762010238</v>
      </c>
    </row>
    <row r="1970" customFormat="false" ht="15" hidden="false" customHeight="false" outlineLevel="0" collapsed="false">
      <c r="A1970" s="0" t="n">
        <v>6.279</v>
      </c>
      <c r="B1970" s="0" t="n">
        <v>35.789</v>
      </c>
      <c r="C1970" s="0" t="n">
        <v>22.877</v>
      </c>
      <c r="D1970" s="0" t="n">
        <v>14.877</v>
      </c>
      <c r="E1970" s="0" t="n">
        <v>27.167</v>
      </c>
      <c r="F1970" s="0" t="n">
        <v>0.2256</v>
      </c>
      <c r="G1970" s="12" t="n">
        <f aca="false">(A1970+(C1970*D1970*COS(RADIANS(E1970))^2-F1970*C1970*D1970)*TAN(RADIANS(B1970)))/(C1970*D1970*SIN(RADIANS(E1970))*COS(RADIANS(E1970)))</f>
        <v>1.04980237694062</v>
      </c>
    </row>
    <row r="1971" customFormat="false" ht="15" hidden="false" customHeight="false" outlineLevel="0" collapsed="false">
      <c r="A1971" s="0" t="n">
        <v>13.481</v>
      </c>
      <c r="B1971" s="0" t="n">
        <v>32.431</v>
      </c>
      <c r="C1971" s="0" t="n">
        <v>20.569</v>
      </c>
      <c r="D1971" s="0" t="n">
        <v>14.817</v>
      </c>
      <c r="E1971" s="0" t="n">
        <v>28.148</v>
      </c>
      <c r="F1971" s="0" t="n">
        <v>0.0308</v>
      </c>
      <c r="G1971" s="12" t="n">
        <f aca="false">(A1971+(C1971*D1971*COS(RADIANS(E1971))^2-F1971*C1971*D1971)*TAN(RADIANS(B1971)))/(C1971*D1971*SIN(RADIANS(E1971))*COS(RADIANS(E1971)))</f>
        <v>1.24685611941537</v>
      </c>
    </row>
    <row r="1972" customFormat="false" ht="15" hidden="false" customHeight="false" outlineLevel="0" collapsed="false">
      <c r="A1972" s="0" t="n">
        <v>7.789</v>
      </c>
      <c r="B1972" s="0" t="n">
        <v>35.992</v>
      </c>
      <c r="C1972" s="0" t="n">
        <v>18.493</v>
      </c>
      <c r="D1972" s="0" t="n">
        <v>12.402</v>
      </c>
      <c r="E1972" s="0" t="n">
        <v>29.737</v>
      </c>
      <c r="F1972" s="0" t="n">
        <v>0.0938</v>
      </c>
      <c r="G1972" s="12" t="n">
        <f aca="false">(A1972+(C1972*D1972*COS(RADIANS(E1972))^2-F1972*C1972*D1972)*TAN(RADIANS(B1972)))/(C1972*D1972*SIN(RADIANS(E1972))*COS(RADIANS(E1972)))</f>
        <v>1.19214948791792</v>
      </c>
    </row>
    <row r="1973" customFormat="false" ht="15" hidden="false" customHeight="false" outlineLevel="0" collapsed="false">
      <c r="A1973" s="0" t="n">
        <v>11.991</v>
      </c>
      <c r="B1973" s="0" t="n">
        <v>32.692</v>
      </c>
      <c r="C1973" s="0" t="n">
        <v>19.888</v>
      </c>
      <c r="D1973" s="0" t="n">
        <v>15.077</v>
      </c>
      <c r="E1973" s="0" t="n">
        <v>25.638</v>
      </c>
      <c r="F1973" s="0" t="n">
        <v>0.0591</v>
      </c>
      <c r="G1973" s="12" t="n">
        <f aca="false">(A1973+(C1973*D1973*COS(RADIANS(E1973))^2-F1973*C1973*D1973)*TAN(RADIANS(B1973)))/(C1973*D1973*SIN(RADIANS(E1973))*COS(RADIANS(E1973)))</f>
        <v>1.34252606323807</v>
      </c>
    </row>
    <row r="1974" customFormat="false" ht="15" hidden="false" customHeight="false" outlineLevel="0" collapsed="false">
      <c r="A1974" s="0" t="n">
        <v>11.364</v>
      </c>
      <c r="B1974" s="0" t="n">
        <v>34.867</v>
      </c>
      <c r="C1974" s="0" t="n">
        <v>18.843</v>
      </c>
      <c r="D1974" s="0" t="n">
        <v>14.263</v>
      </c>
      <c r="E1974" s="0" t="n">
        <v>27.569</v>
      </c>
      <c r="F1974" s="0" t="n">
        <v>0.1377</v>
      </c>
      <c r="G1974" s="12" t="n">
        <f aca="false">(A1974+(C1974*D1974*COS(RADIANS(E1974))^2-F1974*C1974*D1974)*TAN(RADIANS(B1974)))/(C1974*D1974*SIN(RADIANS(E1974))*COS(RADIANS(E1974)))</f>
        <v>1.20373289609648</v>
      </c>
    </row>
    <row r="1975" customFormat="false" ht="15" hidden="false" customHeight="false" outlineLevel="0" collapsed="false">
      <c r="A1975" s="0" t="n">
        <v>11.515</v>
      </c>
      <c r="B1975" s="0" t="n">
        <v>30.293</v>
      </c>
      <c r="C1975" s="0" t="n">
        <v>20.521</v>
      </c>
      <c r="D1975" s="0" t="n">
        <v>13.463</v>
      </c>
      <c r="E1975" s="0" t="n">
        <v>28.649</v>
      </c>
      <c r="F1975" s="0" t="n">
        <v>0.2296</v>
      </c>
      <c r="G1975" s="12" t="n">
        <f aca="false">(A1975+(C1975*D1975*COS(RADIANS(E1975))^2-F1975*C1975*D1975)*TAN(RADIANS(B1975)))/(C1975*D1975*SIN(RADIANS(E1975))*COS(RADIANS(E1975)))</f>
        <v>0.849572223626888</v>
      </c>
    </row>
    <row r="1976" customFormat="false" ht="15" hidden="false" customHeight="false" outlineLevel="0" collapsed="false">
      <c r="A1976" s="0" t="n">
        <v>23.004</v>
      </c>
      <c r="B1976" s="0" t="n">
        <v>35.221</v>
      </c>
      <c r="C1976" s="0" t="n">
        <v>19.658</v>
      </c>
      <c r="D1976" s="0" t="n">
        <v>16.392</v>
      </c>
      <c r="E1976" s="0" t="n">
        <v>27.495</v>
      </c>
      <c r="F1976" s="0" t="n">
        <v>0.2141</v>
      </c>
      <c r="G1976" s="12" t="n">
        <f aca="false">(A1976+(C1976*D1976*COS(RADIANS(E1976))^2-F1976*C1976*D1976)*TAN(RADIANS(B1976)))/(C1976*D1976*SIN(RADIANS(E1976))*COS(RADIANS(E1976)))</f>
        <v>1.16168733534725</v>
      </c>
    </row>
    <row r="1977" customFormat="false" ht="15" hidden="false" customHeight="false" outlineLevel="0" collapsed="false">
      <c r="A1977" s="0" t="n">
        <v>15.226</v>
      </c>
      <c r="B1977" s="0" t="n">
        <v>38.152</v>
      </c>
      <c r="C1977" s="0" t="n">
        <v>20.982</v>
      </c>
      <c r="D1977" s="0" t="n">
        <v>18.205</v>
      </c>
      <c r="E1977" s="0" t="n">
        <v>27.367</v>
      </c>
      <c r="F1977" s="0" t="n">
        <v>0.1383</v>
      </c>
      <c r="G1977" s="12" t="n">
        <f aca="false">(A1977+(C1977*D1977*COS(RADIANS(E1977))^2-F1977*C1977*D1977)*TAN(RADIANS(B1977)))/(C1977*D1977*SIN(RADIANS(E1977))*COS(RADIANS(E1977)))</f>
        <v>1.34916438459997</v>
      </c>
    </row>
    <row r="1978" customFormat="false" ht="15" hidden="false" customHeight="false" outlineLevel="0" collapsed="false">
      <c r="A1978" s="0" t="n">
        <v>15.981</v>
      </c>
      <c r="B1978" s="0" t="n">
        <v>30.456</v>
      </c>
      <c r="C1978" s="0" t="n">
        <v>19.054</v>
      </c>
      <c r="D1978" s="0" t="n">
        <v>16.64</v>
      </c>
      <c r="E1978" s="0" t="n">
        <v>28.035</v>
      </c>
      <c r="F1978" s="0" t="n">
        <v>0.1201</v>
      </c>
      <c r="G1978" s="12" t="n">
        <f aca="false">(A1978+(C1978*D1978*COS(RADIANS(E1978))^2-F1978*C1978*D1978)*TAN(RADIANS(B1978)))/(C1978*D1978*SIN(RADIANS(E1978))*COS(RADIANS(E1978)))</f>
        <v>1.05553000745386</v>
      </c>
    </row>
    <row r="1979" customFormat="false" ht="15" hidden="false" customHeight="false" outlineLevel="0" collapsed="false">
      <c r="A1979" s="0" t="n">
        <v>7.894</v>
      </c>
      <c r="B1979" s="0" t="n">
        <v>37.152</v>
      </c>
      <c r="C1979" s="0" t="n">
        <v>19.676</v>
      </c>
      <c r="D1979" s="0" t="n">
        <v>19.999</v>
      </c>
      <c r="E1979" s="0" t="n">
        <v>23.842</v>
      </c>
      <c r="F1979" s="0" t="n">
        <v>0.1233</v>
      </c>
      <c r="G1979" s="12" t="n">
        <f aca="false">(A1979+(C1979*D1979*COS(RADIANS(E1979))^2-F1979*C1979*D1979)*TAN(RADIANS(B1979)))/(C1979*D1979*SIN(RADIANS(E1979))*COS(RADIANS(E1979)))</f>
        <v>1.51614389712133</v>
      </c>
    </row>
    <row r="1980" customFormat="false" ht="15" hidden="false" customHeight="false" outlineLevel="0" collapsed="false">
      <c r="A1980" s="0" t="n">
        <v>12.384</v>
      </c>
      <c r="B1980" s="0" t="n">
        <v>33.261</v>
      </c>
      <c r="C1980" s="0" t="n">
        <v>21.395</v>
      </c>
      <c r="D1980" s="0" t="n">
        <v>9.978</v>
      </c>
      <c r="E1980" s="0" t="n">
        <v>27.821</v>
      </c>
      <c r="F1980" s="0" t="n">
        <v>0.274</v>
      </c>
      <c r="G1980" s="12" t="n">
        <f aca="false">(A1980+(C1980*D1980*COS(RADIANS(E1980))^2-F1980*C1980*D1980)*TAN(RADIANS(B1980)))/(C1980*D1980*SIN(RADIANS(E1980))*COS(RADIANS(E1980)))</f>
        <v>0.94806758107476</v>
      </c>
    </row>
    <row r="1981" customFormat="false" ht="15" hidden="false" customHeight="false" outlineLevel="0" collapsed="false">
      <c r="A1981" s="0" t="n">
        <v>15.861</v>
      </c>
      <c r="B1981" s="0" t="n">
        <v>37.64</v>
      </c>
      <c r="C1981" s="0" t="n">
        <v>20.792</v>
      </c>
      <c r="D1981" s="0" t="n">
        <v>13.976</v>
      </c>
      <c r="E1981" s="0" t="n">
        <v>26.049</v>
      </c>
      <c r="F1981" s="0" t="n">
        <v>0.1622</v>
      </c>
      <c r="G1981" s="12" t="n">
        <f aca="false">(A1981+(C1981*D1981*COS(RADIANS(E1981))^2-F1981*C1981*D1981)*TAN(RADIANS(B1981)))/(C1981*D1981*SIN(RADIANS(E1981))*COS(RADIANS(E1981)))</f>
        <v>1.39908588251413</v>
      </c>
    </row>
    <row r="1982" customFormat="false" ht="15" hidden="false" customHeight="false" outlineLevel="0" collapsed="false">
      <c r="A1982" s="0" t="n">
        <v>10.902</v>
      </c>
      <c r="B1982" s="0" t="n">
        <v>40.166</v>
      </c>
      <c r="C1982" s="0" t="n">
        <v>20.98</v>
      </c>
      <c r="D1982" s="0" t="n">
        <v>11.497</v>
      </c>
      <c r="E1982" s="0" t="n">
        <v>25.761</v>
      </c>
      <c r="F1982" s="0" t="n">
        <v>0.2623</v>
      </c>
      <c r="G1982" s="12" t="n">
        <f aca="false">(A1982+(C1982*D1982*COS(RADIANS(E1982))^2-F1982*C1982*D1982)*TAN(RADIANS(B1982)))/(C1982*D1982*SIN(RADIANS(E1982))*COS(RADIANS(E1982)))</f>
        <v>1.29889378006052</v>
      </c>
    </row>
    <row r="1983" customFormat="false" ht="15" hidden="false" customHeight="false" outlineLevel="0" collapsed="false">
      <c r="A1983" s="0" t="n">
        <v>18.632</v>
      </c>
      <c r="B1983" s="0" t="n">
        <v>35.232</v>
      </c>
      <c r="C1983" s="0" t="n">
        <v>20.307</v>
      </c>
      <c r="D1983" s="0" t="n">
        <v>13.141</v>
      </c>
      <c r="E1983" s="0" t="n">
        <v>26.011</v>
      </c>
      <c r="F1983" s="0" t="n">
        <v>0.0578</v>
      </c>
      <c r="G1983" s="12" t="n">
        <f aca="false">(A1983+(C1983*D1983*COS(RADIANS(E1983))^2-F1983*C1983*D1983)*TAN(RADIANS(B1983)))/(C1983*D1983*SIN(RADIANS(E1983))*COS(RADIANS(E1983)))</f>
        <v>1.52091925519431</v>
      </c>
    </row>
    <row r="1984" customFormat="false" ht="15" hidden="false" customHeight="false" outlineLevel="0" collapsed="false">
      <c r="A1984" s="0" t="n">
        <v>10.189</v>
      </c>
      <c r="B1984" s="0" t="n">
        <v>36.6</v>
      </c>
      <c r="C1984" s="0" t="n">
        <v>21.868</v>
      </c>
      <c r="D1984" s="0" t="n">
        <v>17.024</v>
      </c>
      <c r="E1984" s="0" t="n">
        <v>25.732</v>
      </c>
      <c r="F1984" s="0" t="n">
        <v>0.1824</v>
      </c>
      <c r="G1984" s="12" t="n">
        <f aca="false">(A1984+(C1984*D1984*COS(RADIANS(E1984))^2-F1984*C1984*D1984)*TAN(RADIANS(B1984)))/(C1984*D1984*SIN(RADIANS(E1984))*COS(RADIANS(E1984)))</f>
        <v>1.26456576211351</v>
      </c>
    </row>
    <row r="1985" customFormat="false" ht="15" hidden="false" customHeight="false" outlineLevel="0" collapsed="false">
      <c r="A1985" s="0" t="n">
        <v>13.855</v>
      </c>
      <c r="B1985" s="0" t="n">
        <v>36.08</v>
      </c>
      <c r="C1985" s="0" t="n">
        <v>20.364</v>
      </c>
      <c r="D1985" s="0" t="n">
        <v>10.542</v>
      </c>
      <c r="E1985" s="0" t="n">
        <v>28.648</v>
      </c>
      <c r="F1985" s="0" t="n">
        <v>0.0706</v>
      </c>
      <c r="G1985" s="12" t="n">
        <f aca="false">(A1985+(C1985*D1985*COS(RADIANS(E1985))^2-F1985*C1985*D1985)*TAN(RADIANS(B1985)))/(C1985*D1985*SIN(RADIANS(E1985))*COS(RADIANS(E1985)))</f>
        <v>1.36495179571092</v>
      </c>
    </row>
    <row r="1986" customFormat="false" ht="15" hidden="false" customHeight="false" outlineLevel="0" collapsed="false">
      <c r="A1986" s="0" t="n">
        <v>12.656</v>
      </c>
      <c r="B1986" s="0" t="n">
        <v>37.861</v>
      </c>
      <c r="C1986" s="0" t="n">
        <v>20.25</v>
      </c>
      <c r="D1986" s="0" t="n">
        <v>15.815</v>
      </c>
      <c r="E1986" s="0" t="n">
        <v>27.082</v>
      </c>
      <c r="F1986" s="0" t="n">
        <v>0.1575</v>
      </c>
      <c r="G1986" s="12" t="n">
        <f aca="false">(A1986+(C1986*D1986*COS(RADIANS(E1986))^2-F1986*C1986*D1986)*TAN(RADIANS(B1986)))/(C1986*D1986*SIN(RADIANS(E1986))*COS(RADIANS(E1986)))</f>
        <v>1.31575923337752</v>
      </c>
    </row>
    <row r="1987" customFormat="false" ht="15" hidden="false" customHeight="false" outlineLevel="0" collapsed="false">
      <c r="A1987" s="0" t="n">
        <v>15.657</v>
      </c>
      <c r="B1987" s="0" t="n">
        <v>34.303</v>
      </c>
      <c r="C1987" s="0" t="n">
        <v>19.084</v>
      </c>
      <c r="D1987" s="0" t="n">
        <v>17.807</v>
      </c>
      <c r="E1987" s="0" t="n">
        <v>26.733</v>
      </c>
      <c r="F1987" s="0" t="n">
        <v>0.0313</v>
      </c>
      <c r="G1987" s="12" t="n">
        <f aca="false">(A1987+(C1987*D1987*COS(RADIANS(E1987))^2-F1987*C1987*D1987)*TAN(RADIANS(B1987)))/(C1987*D1987*SIN(RADIANS(E1987))*COS(RADIANS(E1987)))</f>
        <v>1.41604921850718</v>
      </c>
    </row>
    <row r="1988" customFormat="false" ht="15" hidden="false" customHeight="false" outlineLevel="0" collapsed="false">
      <c r="A1988" s="0" t="n">
        <v>12.438</v>
      </c>
      <c r="B1988" s="0" t="n">
        <v>36.978</v>
      </c>
      <c r="C1988" s="0" t="n">
        <v>19.296</v>
      </c>
      <c r="D1988" s="0" t="n">
        <v>14.281</v>
      </c>
      <c r="E1988" s="0" t="n">
        <v>24.861</v>
      </c>
      <c r="F1988" s="0" t="n">
        <v>0.0459</v>
      </c>
      <c r="G1988" s="12" t="n">
        <f aca="false">(A1988+(C1988*D1988*COS(RADIANS(E1988))^2-F1988*C1988*D1988)*TAN(RADIANS(B1988)))/(C1988*D1988*SIN(RADIANS(E1988))*COS(RADIANS(E1988)))</f>
        <v>1.65271637245938</v>
      </c>
    </row>
    <row r="1989" customFormat="false" ht="15" hidden="false" customHeight="false" outlineLevel="0" collapsed="false">
      <c r="A1989" s="0" t="n">
        <v>13.916</v>
      </c>
      <c r="B1989" s="0" t="n">
        <v>32.867</v>
      </c>
      <c r="C1989" s="0" t="n">
        <v>21.293</v>
      </c>
      <c r="D1989" s="0" t="n">
        <v>16.121</v>
      </c>
      <c r="E1989" s="0" t="n">
        <v>30.831</v>
      </c>
      <c r="F1989" s="0" t="n">
        <v>0.0772</v>
      </c>
      <c r="G1989" s="12" t="n">
        <f aca="false">(A1989+(C1989*D1989*COS(RADIANS(E1989))^2-F1989*C1989*D1989)*TAN(RADIANS(B1989)))/(C1989*D1989*SIN(RADIANS(E1989))*COS(RADIANS(E1989)))</f>
        <v>1.06130870936426</v>
      </c>
    </row>
    <row r="1990" customFormat="false" ht="15" hidden="false" customHeight="false" outlineLevel="0" collapsed="false">
      <c r="A1990" s="0" t="n">
        <v>14.055</v>
      </c>
      <c r="B1990" s="0" t="n">
        <v>38.345</v>
      </c>
      <c r="C1990" s="0" t="n">
        <v>19.198</v>
      </c>
      <c r="D1990" s="0" t="n">
        <v>13.038</v>
      </c>
      <c r="E1990" s="0" t="n">
        <v>26.769</v>
      </c>
      <c r="F1990" s="0" t="n">
        <v>0.1002</v>
      </c>
      <c r="G1990" s="12" t="n">
        <f aca="false">(A1990+(C1990*D1990*COS(RADIANS(E1990))^2-F1990*C1990*D1990)*TAN(RADIANS(B1990)))/(C1990*D1990*SIN(RADIANS(E1990))*COS(RADIANS(E1990)))</f>
        <v>1.51061006388106</v>
      </c>
    </row>
    <row r="1991" customFormat="false" ht="15" hidden="false" customHeight="false" outlineLevel="0" collapsed="false">
      <c r="A1991" s="0" t="n">
        <v>12.062</v>
      </c>
      <c r="B1991" s="0" t="n">
        <v>31.799</v>
      </c>
      <c r="C1991" s="0" t="n">
        <v>19.786</v>
      </c>
      <c r="D1991" s="0" t="n">
        <v>21.344</v>
      </c>
      <c r="E1991" s="0" t="n">
        <v>23.822</v>
      </c>
      <c r="F1991" s="0" t="n">
        <v>0.139</v>
      </c>
      <c r="G1991" s="12" t="n">
        <f aca="false">(A1991+(C1991*D1991*COS(RADIANS(E1991))^2-F1991*C1991*D1991)*TAN(RADIANS(B1991)))/(C1991*D1991*SIN(RADIANS(E1991))*COS(RADIANS(E1991)))</f>
        <v>1.24833025447729</v>
      </c>
    </row>
    <row r="1992" customFormat="false" ht="15" hidden="false" customHeight="false" outlineLevel="0" collapsed="false">
      <c r="A1992" s="0" t="n">
        <v>16.94</v>
      </c>
      <c r="B1992" s="0" t="n">
        <v>33.582</v>
      </c>
      <c r="C1992" s="0" t="n">
        <v>21.265</v>
      </c>
      <c r="D1992" s="0" t="n">
        <v>15.259</v>
      </c>
      <c r="E1992" s="0" t="n">
        <v>26.92</v>
      </c>
      <c r="F1992" s="0" t="n">
        <v>0.2288</v>
      </c>
      <c r="G1992" s="12" t="n">
        <f aca="false">(A1992+(C1992*D1992*COS(RADIANS(E1992))^2-F1992*C1992*D1992)*TAN(RADIANS(B1992)))/(C1992*D1992*SIN(RADIANS(E1992))*COS(RADIANS(E1992)))</f>
        <v>1.06059161270265</v>
      </c>
    </row>
    <row r="1993" customFormat="false" ht="15" hidden="false" customHeight="false" outlineLevel="0" collapsed="false">
      <c r="A1993" s="0" t="n">
        <v>15.954</v>
      </c>
      <c r="B1993" s="0" t="n">
        <v>33.069</v>
      </c>
      <c r="C1993" s="0" t="n">
        <v>21.209</v>
      </c>
      <c r="D1993" s="0" t="n">
        <v>16.791</v>
      </c>
      <c r="E1993" s="0" t="n">
        <v>32.775</v>
      </c>
      <c r="F1993" s="0" t="n">
        <v>0.0085</v>
      </c>
      <c r="G1993" s="12" t="n">
        <f aca="false">(A1993+(C1993*D1993*COS(RADIANS(E1993))^2-F1993*C1993*D1993)*TAN(RADIANS(B1993)))/(C1993*D1993*SIN(RADIANS(E1993))*COS(RADIANS(E1993)))</f>
        <v>1.09757694196132</v>
      </c>
    </row>
    <row r="1994" customFormat="false" ht="15" hidden="false" customHeight="false" outlineLevel="0" collapsed="false">
      <c r="A1994" s="0" t="n">
        <v>14.646</v>
      </c>
      <c r="B1994" s="0" t="n">
        <v>36.131</v>
      </c>
      <c r="C1994" s="0" t="n">
        <v>19.275</v>
      </c>
      <c r="D1994" s="0" t="n">
        <v>20.673</v>
      </c>
      <c r="E1994" s="0" t="n">
        <v>28.756</v>
      </c>
      <c r="F1994" s="0" t="n">
        <v>0.2213</v>
      </c>
      <c r="G1994" s="12" t="n">
        <f aca="false">(A1994+(C1994*D1994*COS(RADIANS(E1994))^2-F1994*C1994*D1994)*TAN(RADIANS(B1994)))/(C1994*D1994*SIN(RADIANS(E1994))*COS(RADIANS(E1994)))</f>
        <v>1.03444460199734</v>
      </c>
    </row>
    <row r="1995" customFormat="false" ht="15" hidden="false" customHeight="false" outlineLevel="0" collapsed="false">
      <c r="A1995" s="0" t="n">
        <v>13.278</v>
      </c>
      <c r="B1995" s="0" t="n">
        <v>37.284</v>
      </c>
      <c r="C1995" s="0" t="n">
        <v>21.205</v>
      </c>
      <c r="D1995" s="0" t="n">
        <v>17.361</v>
      </c>
      <c r="E1995" s="0" t="n">
        <v>28.912</v>
      </c>
      <c r="F1995" s="0" t="n">
        <v>0.1124</v>
      </c>
      <c r="G1995" s="12" t="n">
        <f aca="false">(A1995+(C1995*D1995*COS(RADIANS(E1995))^2-F1995*C1995*D1995)*TAN(RADIANS(B1995)))/(C1995*D1995*SIN(RADIANS(E1995))*COS(RADIANS(E1995)))</f>
        <v>1.26152536782613</v>
      </c>
    </row>
    <row r="1996" customFormat="false" ht="15" hidden="false" customHeight="false" outlineLevel="0" collapsed="false">
      <c r="A1996" s="0" t="n">
        <v>18.186</v>
      </c>
      <c r="B1996" s="0" t="n">
        <v>36.586</v>
      </c>
      <c r="C1996" s="0" t="n">
        <v>20.465</v>
      </c>
      <c r="D1996" s="0" t="n">
        <v>15.798</v>
      </c>
      <c r="E1996" s="0" t="n">
        <v>27.148</v>
      </c>
      <c r="F1996" s="0" t="n">
        <v>0.1182</v>
      </c>
      <c r="G1996" s="12" t="n">
        <f aca="false">(A1996+(C1996*D1996*COS(RADIANS(E1996))^2-F1996*C1996*D1996)*TAN(RADIANS(B1996)))/(C1996*D1996*SIN(RADIANS(E1996))*COS(RADIANS(E1996)))</f>
        <v>1.37001034487819</v>
      </c>
    </row>
    <row r="1997" customFormat="false" ht="15" hidden="false" customHeight="false" outlineLevel="0" collapsed="false">
      <c r="A1997" s="0" t="n">
        <v>14.057</v>
      </c>
      <c r="B1997" s="0" t="n">
        <v>33.395</v>
      </c>
      <c r="C1997" s="0" t="n">
        <v>19.881</v>
      </c>
      <c r="D1997" s="0" t="n">
        <v>16.022</v>
      </c>
      <c r="E1997" s="0" t="n">
        <v>32.5</v>
      </c>
      <c r="F1997" s="0" t="n">
        <v>0.0953</v>
      </c>
      <c r="G1997" s="12" t="n">
        <f aca="false">(A1997+(C1997*D1997*COS(RADIANS(E1997))^2-F1997*C1997*D1997)*TAN(RADIANS(B1997)))/(C1997*D1997*SIN(RADIANS(E1997))*COS(RADIANS(E1997)))</f>
        <v>0.993561893314924</v>
      </c>
    </row>
    <row r="1998" customFormat="false" ht="15" hidden="false" customHeight="false" outlineLevel="0" collapsed="false">
      <c r="A1998" s="0" t="n">
        <v>13.773</v>
      </c>
      <c r="B1998" s="0" t="n">
        <v>39.373</v>
      </c>
      <c r="C1998" s="0" t="n">
        <v>20.831</v>
      </c>
      <c r="D1998" s="0" t="n">
        <v>15.597</v>
      </c>
      <c r="E1998" s="0" t="n">
        <v>25.698</v>
      </c>
      <c r="F1998" s="0" t="n">
        <v>0.2399</v>
      </c>
      <c r="G1998" s="12" t="n">
        <f aca="false">(A1998+(C1998*D1998*COS(RADIANS(E1998))^2-F1998*C1998*D1998)*TAN(RADIANS(B1998)))/(C1998*D1998*SIN(RADIANS(E1998))*COS(RADIANS(E1998)))</f>
        <v>1.309933155777</v>
      </c>
    </row>
    <row r="1999" customFormat="false" ht="15" hidden="false" customHeight="false" outlineLevel="0" collapsed="false">
      <c r="A1999" s="0" t="n">
        <v>15.419</v>
      </c>
      <c r="B1999" s="0" t="n">
        <v>38.491</v>
      </c>
      <c r="C1999" s="0" t="n">
        <v>20.261</v>
      </c>
      <c r="D1999" s="0" t="n">
        <v>14.138</v>
      </c>
      <c r="E1999" s="0" t="n">
        <v>30.187</v>
      </c>
      <c r="F1999" s="0" t="n">
        <v>0.2017</v>
      </c>
      <c r="G1999" s="12" t="n">
        <f aca="false">(A1999+(C1999*D1999*COS(RADIANS(E1999))^2-F1999*C1999*D1999)*TAN(RADIANS(B1999)))/(C1999*D1999*SIN(RADIANS(E1999))*COS(RADIANS(E1999)))</f>
        <v>1.12179785791431</v>
      </c>
    </row>
    <row r="2000" customFormat="false" ht="15" hidden="false" customHeight="false" outlineLevel="0" collapsed="false">
      <c r="A2000" s="0" t="n">
        <v>21.786</v>
      </c>
      <c r="B2000" s="0" t="n">
        <v>35.791</v>
      </c>
      <c r="C2000" s="0" t="n">
        <v>20.054</v>
      </c>
      <c r="D2000" s="0" t="n">
        <v>18.716</v>
      </c>
      <c r="E2000" s="0" t="n">
        <v>29.549</v>
      </c>
      <c r="F2000" s="0" t="n">
        <v>0.1603</v>
      </c>
      <c r="G2000" s="12" t="n">
        <f aca="false">(A2000+(C2000*D2000*COS(RADIANS(E2000))^2-F2000*C2000*D2000)*TAN(RADIANS(B2000)))/(C2000*D2000*SIN(RADIANS(E2000))*COS(RADIANS(E2000)))</f>
        <v>1.13770317239175</v>
      </c>
    </row>
    <row r="2001" customFormat="false" ht="15" hidden="false" customHeight="false" outlineLevel="0" collapsed="false">
      <c r="A2001" s="0" t="n">
        <v>9.639</v>
      </c>
      <c r="B2001" s="0" t="n">
        <v>33.162</v>
      </c>
      <c r="C2001" s="0" t="n">
        <v>19.687</v>
      </c>
      <c r="D2001" s="0" t="n">
        <v>13.715</v>
      </c>
      <c r="E2001" s="0" t="n">
        <v>30.176</v>
      </c>
      <c r="F2001" s="0" t="n">
        <v>0.1884</v>
      </c>
      <c r="G2001" s="12" t="n">
        <f aca="false">(A2001+(C2001*D2001*COS(RADIANS(E2001))^2-F2001*C2001*D2001)*TAN(RADIANS(B2001)))/(C2001*D2001*SIN(RADIANS(E2001))*COS(RADIANS(E2001)))</f>
        <v>0.922645357231478</v>
      </c>
    </row>
    <row r="2002" customFormat="false" ht="15" hidden="false" customHeight="false" outlineLevel="0" collapsed="false">
      <c r="A2002" s="0" t="n">
        <v>18.079</v>
      </c>
      <c r="B2002" s="0" t="n">
        <v>30.936</v>
      </c>
      <c r="C2002" s="0" t="n">
        <v>19.47</v>
      </c>
      <c r="D2002" s="0" t="n">
        <v>11.945</v>
      </c>
      <c r="E2002" s="0" t="n">
        <v>27.874</v>
      </c>
      <c r="F2002" s="0" t="n">
        <v>0.2402</v>
      </c>
      <c r="G2002" s="12" t="n">
        <f aca="false">(A2002+(C2002*D2002*COS(RADIANS(E2002))^2-F2002*C2002*D2002)*TAN(RADIANS(B2002)))/(C2002*D2002*SIN(RADIANS(E2002))*COS(RADIANS(E2002)))</f>
        <v>0.972959654240807</v>
      </c>
    </row>
    <row r="2003" customFormat="false" ht="15" hidden="false" customHeight="false" outlineLevel="0" collapsed="false">
      <c r="A2003" s="0" t="n">
        <v>7.427</v>
      </c>
      <c r="B2003" s="0" t="n">
        <v>37.09</v>
      </c>
      <c r="C2003" s="0" t="n">
        <v>20.619</v>
      </c>
      <c r="D2003" s="0" t="n">
        <v>17.926</v>
      </c>
      <c r="E2003" s="0" t="n">
        <v>28.969</v>
      </c>
      <c r="F2003" s="0" t="n">
        <v>0.2208</v>
      </c>
      <c r="G2003" s="12" t="n">
        <f aca="false">(A2003+(C2003*D2003*COS(RADIANS(E2003))^2-F2003*C2003*D2003)*TAN(RADIANS(B2003)))/(C2003*D2003*SIN(RADIANS(E2003))*COS(RADIANS(E2003)))</f>
        <v>1.01911308798624</v>
      </c>
    </row>
    <row r="2004" customFormat="false" ht="15" hidden="false" customHeight="false" outlineLevel="0" collapsed="false">
      <c r="A2004" s="0" t="n">
        <v>15.869</v>
      </c>
      <c r="B2004" s="0" t="n">
        <v>34.058</v>
      </c>
      <c r="C2004" s="0" t="n">
        <v>21.455</v>
      </c>
      <c r="D2004" s="0" t="n">
        <v>9.832</v>
      </c>
      <c r="E2004" s="0" t="n">
        <v>23.298</v>
      </c>
      <c r="F2004" s="0" t="n">
        <v>0.1977</v>
      </c>
      <c r="G2004" s="12" t="n">
        <f aca="false">(A2004+(C2004*D2004*COS(RADIANS(E2004))^2-F2004*C2004*D2004)*TAN(RADIANS(B2004)))/(C2004*D2004*SIN(RADIANS(E2004))*COS(RADIANS(E2004)))</f>
        <v>1.40896149999792</v>
      </c>
    </row>
    <row r="2005" customFormat="false" ht="15" hidden="false" customHeight="false" outlineLevel="0" collapsed="false">
      <c r="A2005" s="0" t="n">
        <v>21.3</v>
      </c>
      <c r="B2005" s="0" t="n">
        <v>37.86</v>
      </c>
      <c r="C2005" s="0" t="n">
        <v>18.492</v>
      </c>
      <c r="D2005" s="0" t="n">
        <v>16.626</v>
      </c>
      <c r="E2005" s="0" t="n">
        <v>31.606</v>
      </c>
      <c r="F2005" s="0" t="n">
        <v>0.2748</v>
      </c>
      <c r="G2005" s="12" t="n">
        <f aca="false">(A2005+(C2005*D2005*COS(RADIANS(E2005))^2-F2005*C2005*D2005)*TAN(RADIANS(B2005)))/(C2005*D2005*SIN(RADIANS(E2005))*COS(RADIANS(E2005)))</f>
        <v>0.939899981494466</v>
      </c>
    </row>
    <row r="2006" customFormat="false" ht="15" hidden="false" customHeight="false" outlineLevel="0" collapsed="false">
      <c r="A2006" s="0" t="n">
        <v>16.955</v>
      </c>
      <c r="B2006" s="0" t="n">
        <v>38.081</v>
      </c>
      <c r="C2006" s="0" t="n">
        <v>19.465</v>
      </c>
      <c r="D2006" s="0" t="n">
        <v>15.243</v>
      </c>
      <c r="E2006" s="0" t="n">
        <v>29.393</v>
      </c>
      <c r="F2006" s="0" t="n">
        <v>0.165</v>
      </c>
      <c r="G2006" s="12" t="n">
        <f aca="false">(A2006+(C2006*D2006*COS(RADIANS(E2006))^2-F2006*C2006*D2006)*TAN(RADIANS(B2006)))/(C2006*D2006*SIN(RADIANS(E2006))*COS(RADIANS(E2006)))</f>
        <v>1.22229009158685</v>
      </c>
    </row>
    <row r="2007" customFormat="false" ht="15" hidden="false" customHeight="false" outlineLevel="0" collapsed="false">
      <c r="A2007" s="0" t="n">
        <v>15.683</v>
      </c>
      <c r="B2007" s="0" t="n">
        <v>33.667</v>
      </c>
      <c r="C2007" s="0" t="n">
        <v>19.729</v>
      </c>
      <c r="D2007" s="0" t="n">
        <v>15.462</v>
      </c>
      <c r="E2007" s="0" t="n">
        <v>31.068</v>
      </c>
      <c r="F2007" s="0" t="n">
        <v>0.1771</v>
      </c>
      <c r="G2007" s="12" t="n">
        <f aca="false">(A2007+(C2007*D2007*COS(RADIANS(E2007))^2-F2007*C2007*D2007)*TAN(RADIANS(B2007)))/(C2007*D2007*SIN(RADIANS(E2007))*COS(RADIANS(E2007)))</f>
        <v>0.955016827684175</v>
      </c>
    </row>
    <row r="2008" customFormat="false" ht="15" hidden="false" customHeight="false" outlineLevel="0" collapsed="false">
      <c r="A2008" s="0" t="n">
        <v>12.758</v>
      </c>
      <c r="B2008" s="0" t="n">
        <v>35.031</v>
      </c>
      <c r="C2008" s="0" t="n">
        <v>18.361</v>
      </c>
      <c r="D2008" s="0" t="n">
        <v>16.822</v>
      </c>
      <c r="E2008" s="0" t="n">
        <v>25.971</v>
      </c>
      <c r="F2008" s="0" t="n">
        <v>0.0865</v>
      </c>
      <c r="G2008" s="12" t="n">
        <f aca="false">(A2008+(C2008*D2008*COS(RADIANS(E2008))^2-F2008*C2008*D2008)*TAN(RADIANS(B2008)))/(C2008*D2008*SIN(RADIANS(E2008))*COS(RADIANS(E2008)))</f>
        <v>1.3900357571925</v>
      </c>
    </row>
    <row r="2009" customFormat="false" ht="15" hidden="false" customHeight="false" outlineLevel="0" collapsed="false">
      <c r="A2009" s="0" t="n">
        <v>15.124</v>
      </c>
      <c r="B2009" s="0" t="n">
        <v>34.908</v>
      </c>
      <c r="C2009" s="0" t="n">
        <v>17.87</v>
      </c>
      <c r="D2009" s="0" t="n">
        <v>6.896</v>
      </c>
      <c r="E2009" s="0" t="n">
        <v>33.555</v>
      </c>
      <c r="F2009" s="0" t="n">
        <v>0.1768</v>
      </c>
      <c r="G2009" s="12" t="n">
        <f aca="false">(A2009+(C2009*D2009*COS(RADIANS(E2009))^2-F2009*C2009*D2009)*TAN(RADIANS(B2009)))/(C2009*D2009*SIN(RADIANS(E2009))*COS(RADIANS(E2009)))</f>
        <v>1.05068927625367</v>
      </c>
    </row>
    <row r="2010" customFormat="false" ht="15" hidden="false" customHeight="false" outlineLevel="0" collapsed="false">
      <c r="A2010" s="0" t="n">
        <v>13.992</v>
      </c>
      <c r="B2010" s="0" t="n">
        <v>39.335</v>
      </c>
      <c r="C2010" s="0" t="n">
        <v>20.86</v>
      </c>
      <c r="D2010" s="0" t="n">
        <v>13.652</v>
      </c>
      <c r="E2010" s="0" t="n">
        <v>25.724</v>
      </c>
      <c r="F2010" s="0" t="n">
        <v>0.174</v>
      </c>
      <c r="G2010" s="12" t="n">
        <f aca="false">(A2010+(C2010*D2010*COS(RADIANS(E2010))^2-F2010*C2010*D2010)*TAN(RADIANS(B2010)))/(C2010*D2010*SIN(RADIANS(E2010))*COS(RADIANS(E2010)))</f>
        <v>1.46197341885925</v>
      </c>
    </row>
    <row r="2011" customFormat="false" ht="15" hidden="false" customHeight="false" outlineLevel="0" collapsed="false">
      <c r="A2011" s="0" t="n">
        <v>11.856</v>
      </c>
      <c r="B2011" s="0" t="n">
        <v>33.891</v>
      </c>
      <c r="C2011" s="0" t="n">
        <v>18.98</v>
      </c>
      <c r="D2011" s="0" t="n">
        <v>10.247</v>
      </c>
      <c r="E2011" s="0" t="n">
        <v>30.946</v>
      </c>
      <c r="F2011" s="0" t="n">
        <v>0.1933</v>
      </c>
      <c r="G2011" s="12" t="n">
        <f aca="false">(A2011+(C2011*D2011*COS(RADIANS(E2011))^2-F2011*C2011*D2011)*TAN(RADIANS(B2011)))/(C2011*D2011*SIN(RADIANS(E2011))*COS(RADIANS(E2011)))</f>
        <v>0.964162388973679</v>
      </c>
    </row>
    <row r="2012" customFormat="false" ht="15" hidden="false" customHeight="false" outlineLevel="0" collapsed="false">
      <c r="A2012" s="0" t="n">
        <v>13.84</v>
      </c>
      <c r="B2012" s="0" t="n">
        <v>36.946</v>
      </c>
      <c r="C2012" s="0" t="n">
        <v>19.502</v>
      </c>
      <c r="D2012" s="0" t="n">
        <v>11.324</v>
      </c>
      <c r="E2012" s="0" t="n">
        <v>28.111</v>
      </c>
      <c r="F2012" s="0" t="n">
        <v>0.0889</v>
      </c>
      <c r="G2012" s="12" t="n">
        <f aca="false">(A2012+(C2012*D2012*COS(RADIANS(E2012))^2-F2012*C2012*D2012)*TAN(RADIANS(B2012)))/(C2012*D2012*SIN(RADIANS(E2012))*COS(RADIANS(E2012)))</f>
        <v>1.39778330138597</v>
      </c>
    </row>
    <row r="2013" customFormat="false" ht="15" hidden="false" customHeight="false" outlineLevel="0" collapsed="false">
      <c r="A2013" s="0" t="n">
        <v>15.794</v>
      </c>
      <c r="B2013" s="0" t="n">
        <v>35.206</v>
      </c>
      <c r="C2013" s="0" t="n">
        <v>18.253</v>
      </c>
      <c r="D2013" s="0" t="n">
        <v>18.117</v>
      </c>
      <c r="E2013" s="0" t="n">
        <v>28.657</v>
      </c>
      <c r="F2013" s="0" t="n">
        <v>0.1655</v>
      </c>
      <c r="G2013" s="12" t="n">
        <f aca="false">(A2013+(C2013*D2013*COS(RADIANS(E2013))^2-F2013*C2013*D2013)*TAN(RADIANS(B2013)))/(C2013*D2013*SIN(RADIANS(E2013))*COS(RADIANS(E2013)))</f>
        <v>1.12707127122935</v>
      </c>
    </row>
    <row r="2014" customFormat="false" ht="15" hidden="false" customHeight="false" outlineLevel="0" collapsed="false">
      <c r="A2014" s="0" t="n">
        <v>11.931</v>
      </c>
      <c r="B2014" s="0" t="n">
        <v>39.634</v>
      </c>
      <c r="C2014" s="0" t="n">
        <v>19.82</v>
      </c>
      <c r="D2014" s="0" t="n">
        <v>13.597</v>
      </c>
      <c r="E2014" s="0" t="n">
        <v>28.79</v>
      </c>
      <c r="F2014" s="0" t="n">
        <v>0.059</v>
      </c>
      <c r="G2014" s="12" t="n">
        <f aca="false">(A2014+(C2014*D2014*COS(RADIANS(E2014))^2-F2014*C2014*D2014)*TAN(RADIANS(B2014)))/(C2014*D2014*SIN(RADIANS(E2014))*COS(RADIANS(E2014)))</f>
        <v>1.49635513133136</v>
      </c>
    </row>
    <row r="2015" customFormat="false" ht="15" hidden="false" customHeight="false" outlineLevel="0" collapsed="false">
      <c r="A2015" s="0" t="n">
        <v>11.775</v>
      </c>
      <c r="B2015" s="0" t="n">
        <v>33.005</v>
      </c>
      <c r="C2015" s="0" t="n">
        <v>20.665</v>
      </c>
      <c r="D2015" s="0" t="n">
        <v>13.715</v>
      </c>
      <c r="E2015" s="0" t="n">
        <v>29.107</v>
      </c>
      <c r="F2015" s="0" t="n">
        <v>0.0481</v>
      </c>
      <c r="G2015" s="12" t="n">
        <f aca="false">(A2015+(C2015*D2015*COS(RADIANS(E2015))^2-F2015*C2015*D2015)*TAN(RADIANS(B2015)))/(C2015*D2015*SIN(RADIANS(E2015))*COS(RADIANS(E2015)))</f>
        <v>1.19088573823552</v>
      </c>
    </row>
    <row r="2016" customFormat="false" ht="15" hidden="false" customHeight="false" outlineLevel="0" collapsed="false">
      <c r="A2016" s="0" t="n">
        <v>9.559</v>
      </c>
      <c r="B2016" s="0" t="n">
        <v>31.871</v>
      </c>
      <c r="C2016" s="0" t="n">
        <v>19.814</v>
      </c>
      <c r="D2016" s="0" t="n">
        <v>17.846</v>
      </c>
      <c r="E2016" s="0" t="n">
        <v>27.912</v>
      </c>
      <c r="F2016" s="0" t="n">
        <v>0.1547</v>
      </c>
      <c r="G2016" s="12" t="n">
        <f aca="false">(A2016+(C2016*D2016*COS(RADIANS(E2016))^2-F2016*C2016*D2016)*TAN(RADIANS(B2016)))/(C2016*D2016*SIN(RADIANS(E2016))*COS(RADIANS(E2016)))</f>
        <v>1.00650607731559</v>
      </c>
    </row>
    <row r="2017" customFormat="false" ht="15" hidden="false" customHeight="false" outlineLevel="0" collapsed="false">
      <c r="A2017" s="0" t="n">
        <v>16.563</v>
      </c>
      <c r="B2017" s="0" t="n">
        <v>29.352</v>
      </c>
      <c r="C2017" s="0" t="n">
        <v>20.887</v>
      </c>
      <c r="D2017" s="0" t="n">
        <v>17.578</v>
      </c>
      <c r="E2017" s="0" t="n">
        <v>29.103</v>
      </c>
      <c r="F2017" s="0" t="n">
        <v>0.1603</v>
      </c>
      <c r="G2017" s="12" t="n">
        <f aca="false">(A2017+(C2017*D2017*COS(RADIANS(E2017))^2-F2017*C2017*D2017)*TAN(RADIANS(B2017)))/(C2017*D2017*SIN(RADIANS(E2017))*COS(RADIANS(E2017)))</f>
        <v>0.904278882666205</v>
      </c>
    </row>
    <row r="2018" customFormat="false" ht="15" hidden="false" customHeight="false" outlineLevel="0" collapsed="false">
      <c r="A2018" s="0" t="n">
        <v>17.181</v>
      </c>
      <c r="B2018" s="0" t="n">
        <v>35.491</v>
      </c>
      <c r="C2018" s="0" t="n">
        <v>20.747</v>
      </c>
      <c r="D2018" s="0" t="n">
        <v>14.989</v>
      </c>
      <c r="E2018" s="0" t="n">
        <v>23.681</v>
      </c>
      <c r="F2018" s="0" t="n">
        <v>0.2223</v>
      </c>
      <c r="G2018" s="12" t="n">
        <f aca="false">(A2018+(C2018*D2018*COS(RADIANS(E2018))^2-F2018*C2018*D2018)*TAN(RADIANS(B2018)))/(C2018*D2018*SIN(RADIANS(E2018))*COS(RADIANS(E2018)))</f>
        <v>1.34510919130454</v>
      </c>
    </row>
    <row r="2019" customFormat="false" ht="15" hidden="false" customHeight="false" outlineLevel="0" collapsed="false">
      <c r="A2019" s="0" t="n">
        <v>15.927</v>
      </c>
      <c r="B2019" s="0" t="n">
        <v>35.71</v>
      </c>
      <c r="C2019" s="0" t="n">
        <v>18.623</v>
      </c>
      <c r="D2019" s="0" t="n">
        <v>15.39</v>
      </c>
      <c r="E2019" s="0" t="n">
        <v>24.515</v>
      </c>
      <c r="F2019" s="0" t="n">
        <v>0.2433</v>
      </c>
      <c r="G2019" s="12" t="n">
        <f aca="false">(A2019+(C2019*D2019*COS(RADIANS(E2019))^2-F2019*C2019*D2019)*TAN(RADIANS(B2019)))/(C2019*D2019*SIN(RADIANS(E2019))*COS(RADIANS(E2019)))</f>
        <v>1.26018749902166</v>
      </c>
    </row>
    <row r="2020" customFormat="false" ht="15" hidden="false" customHeight="false" outlineLevel="0" collapsed="false">
      <c r="A2020" s="0" t="n">
        <v>18.861</v>
      </c>
      <c r="B2020" s="0" t="n">
        <v>34.345</v>
      </c>
      <c r="C2020" s="0" t="n">
        <v>20.562</v>
      </c>
      <c r="D2020" s="0" t="n">
        <v>14.356</v>
      </c>
      <c r="E2020" s="0" t="n">
        <v>29.49</v>
      </c>
      <c r="F2020" s="0" t="n">
        <v>0.2614</v>
      </c>
      <c r="G2020" s="12" t="n">
        <f aca="false">(A2020+(C2020*D2020*COS(RADIANS(E2020))^2-F2020*C2020*D2020)*TAN(RADIANS(B2020)))/(C2020*D2020*SIN(RADIANS(E2020))*COS(RADIANS(E2020)))</f>
        <v>0.940498723518707</v>
      </c>
    </row>
    <row r="2021" customFormat="false" ht="15" hidden="false" customHeight="false" outlineLevel="0" collapsed="false">
      <c r="A2021" s="0" t="n">
        <v>15.351</v>
      </c>
      <c r="B2021" s="0" t="n">
        <v>37.719</v>
      </c>
      <c r="C2021" s="0" t="n">
        <v>19.07</v>
      </c>
      <c r="D2021" s="0" t="n">
        <v>10.388</v>
      </c>
      <c r="E2021" s="0" t="n">
        <v>25.775</v>
      </c>
      <c r="F2021" s="0" t="n">
        <v>0.2803</v>
      </c>
      <c r="G2021" s="12" t="n">
        <f aca="false">(A2021+(C2021*D2021*COS(RADIANS(E2021))^2-F2021*C2021*D2021)*TAN(RADIANS(B2021)))/(C2021*D2021*SIN(RADIANS(E2021))*COS(RADIANS(E2021)))</f>
        <v>1.24593853519426</v>
      </c>
    </row>
    <row r="2022" customFormat="false" ht="15" hidden="false" customHeight="false" outlineLevel="0" collapsed="false">
      <c r="A2022" s="0" t="n">
        <v>16.568</v>
      </c>
      <c r="B2022" s="0" t="n">
        <v>39.557</v>
      </c>
      <c r="C2022" s="0" t="n">
        <v>20.034</v>
      </c>
      <c r="D2022" s="0" t="n">
        <v>18.935</v>
      </c>
      <c r="E2022" s="0" t="n">
        <v>26.152</v>
      </c>
      <c r="F2022" s="0" t="n">
        <v>0.062</v>
      </c>
      <c r="G2022" s="12" t="n">
        <f aca="false">(A2022+(C2022*D2022*COS(RADIANS(E2022))^2-F2022*C2022*D2022)*TAN(RADIANS(B2022)))/(C2022*D2022*SIN(RADIANS(E2022))*COS(RADIANS(E2022)))</f>
        <v>1.66317647647864</v>
      </c>
    </row>
    <row r="2023" customFormat="false" ht="15" hidden="false" customHeight="false" outlineLevel="0" collapsed="false">
      <c r="A2023" s="0" t="n">
        <v>16.215</v>
      </c>
      <c r="B2023" s="0" t="n">
        <v>32.668</v>
      </c>
      <c r="C2023" s="0" t="n">
        <v>19.277</v>
      </c>
      <c r="D2023" s="0" t="n">
        <v>12.564</v>
      </c>
      <c r="E2023" s="0" t="n">
        <v>30.527</v>
      </c>
      <c r="F2023" s="0" t="n">
        <v>0.3292</v>
      </c>
      <c r="G2023" s="12" t="n">
        <f aca="false">(A2023+(C2023*D2023*COS(RADIANS(E2023))^2-F2023*C2023*D2023)*TAN(RADIANS(B2023)))/(C2023*D2023*SIN(RADIANS(E2023))*COS(RADIANS(E2023)))</f>
        <v>0.757951103197418</v>
      </c>
    </row>
    <row r="2024" customFormat="false" ht="15" hidden="false" customHeight="false" outlineLevel="0" collapsed="false">
      <c r="A2024" s="0" t="n">
        <v>14.634</v>
      </c>
      <c r="B2024" s="0" t="n">
        <v>34.312</v>
      </c>
      <c r="C2024" s="0" t="n">
        <v>19.853</v>
      </c>
      <c r="D2024" s="0" t="n">
        <v>13.606</v>
      </c>
      <c r="E2024" s="0" t="n">
        <v>29.746</v>
      </c>
      <c r="F2024" s="0" t="n">
        <v>0.0484</v>
      </c>
      <c r="G2024" s="12" t="n">
        <f aca="false">(A2024+(C2024*D2024*COS(RADIANS(E2024))^2-F2024*C2024*D2024)*TAN(RADIANS(B2024)))/(C2024*D2024*SIN(RADIANS(E2024))*COS(RADIANS(E2024)))</f>
        <v>1.24333718772118</v>
      </c>
    </row>
    <row r="2025" customFormat="false" ht="15" hidden="false" customHeight="false" outlineLevel="0" collapsed="false">
      <c r="A2025" s="0" t="n">
        <v>12.877</v>
      </c>
      <c r="B2025" s="0" t="n">
        <v>29.921</v>
      </c>
      <c r="C2025" s="0" t="n">
        <v>19.145</v>
      </c>
      <c r="D2025" s="0" t="n">
        <v>16.532</v>
      </c>
      <c r="E2025" s="0" t="n">
        <v>29.227</v>
      </c>
      <c r="F2025" s="0" t="n">
        <v>0.2426</v>
      </c>
      <c r="G2025" s="12" t="n">
        <f aca="false">(A2025+(C2025*D2025*COS(RADIANS(E2025))^2-F2025*C2025*D2025)*TAN(RADIANS(B2025)))/(C2025*D2025*SIN(RADIANS(E2025))*COS(RADIANS(E2025)))</f>
        <v>0.796440604234502</v>
      </c>
    </row>
    <row r="2026" customFormat="false" ht="15" hidden="false" customHeight="false" outlineLevel="0" collapsed="false">
      <c r="A2026" s="0" t="n">
        <v>23.857</v>
      </c>
      <c r="B2026" s="0" t="n">
        <v>35.175</v>
      </c>
      <c r="C2026" s="0" t="n">
        <v>19.981</v>
      </c>
      <c r="D2026" s="0" t="n">
        <v>14.426</v>
      </c>
      <c r="E2026" s="0" t="n">
        <v>27.028</v>
      </c>
      <c r="F2026" s="0" t="n">
        <v>0.1598</v>
      </c>
      <c r="G2026" s="12" t="n">
        <f aca="false">(A2026+(C2026*D2026*COS(RADIANS(E2026))^2-F2026*C2026*D2026)*TAN(RADIANS(B2026)))/(C2026*D2026*SIN(RADIANS(E2026))*COS(RADIANS(E2026)))</f>
        <v>1.3077621920173</v>
      </c>
    </row>
    <row r="2028" customFormat="false" ht="15" hidden="false" customHeight="false" outlineLevel="0" collapsed="false">
      <c r="A2028" s="3" t="s">
        <v>77</v>
      </c>
    </row>
    <row r="2029" customFormat="false" ht="15" hidden="false" customHeight="false" outlineLevel="0" collapsed="false">
      <c r="A2029" s="0" t="s">
        <v>53</v>
      </c>
      <c r="B2029" s="12" t="n">
        <f aca="false">AVERAGE(G27:G2026)</f>
        <v>1.19454397310665</v>
      </c>
    </row>
    <row r="2030" customFormat="false" ht="15" hidden="false" customHeight="false" outlineLevel="0" collapsed="false">
      <c r="A2030" s="0" t="s">
        <v>54</v>
      </c>
      <c r="B2030" s="12" t="n">
        <f aca="false">STDEV(G27:G2026)</f>
        <v>0.221798658046177</v>
      </c>
    </row>
    <row r="2031" customFormat="false" ht="15" hidden="false" customHeight="false" outlineLevel="0" collapsed="false">
      <c r="A2031" s="0" t="s">
        <v>78</v>
      </c>
      <c r="B2031" s="14" t="n">
        <f aca="false">COUNTIF(G27:G2026,"&lt;1")/COUNT(G27:G2026)</f>
        <v>0.193</v>
      </c>
    </row>
  </sheetData>
  <mergeCells count="2">
    <mergeCell ref="A12:F12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0" t="s">
        <v>79</v>
      </c>
    </row>
    <row r="2" customFormat="false" ht="15" hidden="false" customHeight="false" outlineLevel="0" collapsed="false">
      <c r="A2" s="2" t="s">
        <v>80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81</v>
      </c>
      <c r="B4" s="4" t="s">
        <v>53</v>
      </c>
      <c r="C4" s="4" t="s">
        <v>54</v>
      </c>
      <c r="D4" s="4" t="s">
        <v>82</v>
      </c>
      <c r="E4" s="4" t="s">
        <v>83</v>
      </c>
    </row>
    <row r="5" customFormat="false" ht="15" hidden="false" customHeight="false" outlineLevel="0" collapsed="false">
      <c r="A5" s="0" t="n">
        <v>20</v>
      </c>
      <c r="B5" s="0" t="n">
        <v>1.764</v>
      </c>
      <c r="C5" s="0" t="n">
        <v>0.253</v>
      </c>
      <c r="D5" s="14" t="n">
        <v>0.0002</v>
      </c>
      <c r="E5" s="0" t="n">
        <v>3.02</v>
      </c>
    </row>
    <row r="6" customFormat="false" ht="15" hidden="false" customHeight="false" outlineLevel="0" collapsed="false">
      <c r="A6" s="0" t="n">
        <v>21</v>
      </c>
      <c r="B6" s="0" t="n">
        <v>1.674</v>
      </c>
      <c r="C6" s="0" t="n">
        <v>0.242</v>
      </c>
      <c r="D6" s="14" t="n">
        <v>0.0006</v>
      </c>
      <c r="E6" s="0" t="n">
        <v>2.784</v>
      </c>
    </row>
    <row r="7" customFormat="false" ht="15" hidden="false" customHeight="false" outlineLevel="0" collapsed="false">
      <c r="A7" s="0" t="n">
        <v>22</v>
      </c>
      <c r="B7" s="0" t="n">
        <v>1.585</v>
      </c>
      <c r="C7" s="0" t="n">
        <v>0.234</v>
      </c>
      <c r="D7" s="14" t="n">
        <v>0.0016</v>
      </c>
      <c r="E7" s="0" t="n">
        <v>2.5</v>
      </c>
    </row>
    <row r="8" customFormat="false" ht="15" hidden="false" customHeight="false" outlineLevel="0" collapsed="false">
      <c r="A8" s="0" t="n">
        <v>23</v>
      </c>
      <c r="B8" s="0" t="n">
        <v>1.506</v>
      </c>
      <c r="C8" s="0" t="n">
        <v>0.222</v>
      </c>
      <c r="D8" s="14" t="n">
        <v>0.00635</v>
      </c>
      <c r="E8" s="0" t="n">
        <v>2.279</v>
      </c>
    </row>
    <row r="9" customFormat="false" ht="15" hidden="false" customHeight="false" outlineLevel="0" collapsed="false">
      <c r="A9" s="0" t="n">
        <v>24</v>
      </c>
      <c r="B9" s="0" t="n">
        <v>1.432</v>
      </c>
      <c r="C9" s="0" t="n">
        <v>0.213</v>
      </c>
      <c r="D9" s="14" t="n">
        <v>0.01395</v>
      </c>
      <c r="E9" s="0" t="n">
        <v>2.027</v>
      </c>
    </row>
    <row r="10" customFormat="false" ht="15" hidden="false" customHeight="false" outlineLevel="0" collapsed="false">
      <c r="A10" s="0" t="n">
        <v>25</v>
      </c>
      <c r="B10" s="0" t="n">
        <v>1.367</v>
      </c>
      <c r="C10" s="0" t="n">
        <v>0.205</v>
      </c>
      <c r="D10" s="14" t="n">
        <v>0.02915</v>
      </c>
      <c r="E10" s="0" t="n">
        <v>1.785</v>
      </c>
    </row>
    <row r="11" customFormat="false" ht="15" hidden="false" customHeight="false" outlineLevel="0" collapsed="false">
      <c r="A11" s="0" t="n">
        <v>26</v>
      </c>
      <c r="B11" s="0" t="n">
        <v>1.303</v>
      </c>
      <c r="C11" s="0" t="n">
        <v>0.197</v>
      </c>
      <c r="D11" s="14" t="n">
        <v>0.0526</v>
      </c>
      <c r="E11" s="0" t="n">
        <v>1.543</v>
      </c>
    </row>
    <row r="12" customFormat="false" ht="15" hidden="false" customHeight="false" outlineLevel="0" collapsed="false">
      <c r="A12" s="0" t="n">
        <v>27</v>
      </c>
      <c r="B12" s="0" t="n">
        <v>1.245</v>
      </c>
      <c r="C12" s="0" t="n">
        <v>0.188</v>
      </c>
      <c r="D12" s="14" t="n">
        <v>0.0906</v>
      </c>
      <c r="E12" s="0" t="n">
        <v>1.302</v>
      </c>
    </row>
    <row r="13" customFormat="false" ht="15" hidden="false" customHeight="false" outlineLevel="0" collapsed="false">
      <c r="A13" s="0" t="n">
        <v>28</v>
      </c>
      <c r="B13" s="0" t="n">
        <v>1.192</v>
      </c>
      <c r="C13" s="0" t="n">
        <v>0.182</v>
      </c>
      <c r="D13" s="14" t="n">
        <v>0.14825</v>
      </c>
      <c r="E13" s="0" t="n">
        <v>1.051</v>
      </c>
    </row>
    <row r="14" customFormat="false" ht="15" hidden="false" customHeight="false" outlineLevel="0" collapsed="false">
      <c r="A14" s="0" t="n">
        <v>29</v>
      </c>
      <c r="B14" s="0" t="n">
        <v>1.141</v>
      </c>
      <c r="C14" s="0" t="n">
        <v>0.178</v>
      </c>
      <c r="D14" s="14" t="n">
        <v>0.21645</v>
      </c>
      <c r="E14" s="0" t="n">
        <v>0.796</v>
      </c>
    </row>
    <row r="15" customFormat="false" ht="15" hidden="false" customHeight="false" outlineLevel="0" collapsed="false">
      <c r="A15" s="0" t="n">
        <v>30</v>
      </c>
      <c r="B15" s="0" t="n">
        <v>1.094</v>
      </c>
      <c r="C15" s="0" t="n">
        <v>0.174</v>
      </c>
      <c r="D15" s="14" t="n">
        <v>0.3057</v>
      </c>
      <c r="E15" s="0" t="n">
        <v>0.541</v>
      </c>
    </row>
    <row r="16" customFormat="false" ht="15" hidden="false" customHeight="false" outlineLevel="0" collapsed="false">
      <c r="A16" s="0" t="n">
        <v>31</v>
      </c>
      <c r="B16" s="0" t="n">
        <v>1.048</v>
      </c>
      <c r="C16" s="0" t="n">
        <v>0.167</v>
      </c>
      <c r="D16" s="14" t="n">
        <v>0.40465</v>
      </c>
      <c r="E16" s="0" t="n">
        <v>0.289</v>
      </c>
    </row>
    <row r="17" customFormat="false" ht="15" hidden="false" customHeight="false" outlineLevel="0" collapsed="false">
      <c r="A17" s="0" t="n">
        <v>32</v>
      </c>
      <c r="B17" s="0" t="n">
        <v>1.007</v>
      </c>
      <c r="C17" s="0" t="n">
        <v>0.166</v>
      </c>
      <c r="D17" s="14" t="n">
        <v>0.49845</v>
      </c>
      <c r="E17" s="0" t="n">
        <v>0.044</v>
      </c>
    </row>
    <row r="18" customFormat="false" ht="15" hidden="false" customHeight="false" outlineLevel="0" collapsed="false">
      <c r="A18" s="0" t="n">
        <v>33</v>
      </c>
      <c r="B18" s="0" t="n">
        <v>0.965</v>
      </c>
      <c r="C18" s="0" t="n">
        <v>0.16</v>
      </c>
      <c r="D18" s="14" t="n">
        <v>0.60125</v>
      </c>
      <c r="E18" s="0" t="n">
        <v>-0.217</v>
      </c>
    </row>
    <row r="19" customFormat="false" ht="15" hidden="false" customHeight="false" outlineLevel="0" collapsed="false">
      <c r="A19" s="0" t="n">
        <v>34</v>
      </c>
      <c r="B19" s="0" t="n">
        <v>0.925</v>
      </c>
      <c r="C19" s="0" t="n">
        <v>0.155</v>
      </c>
      <c r="D19" s="14" t="n">
        <v>0.6941</v>
      </c>
      <c r="E19" s="0" t="n">
        <v>-0.483</v>
      </c>
    </row>
    <row r="20" customFormat="false" ht="15" hidden="false" customHeight="false" outlineLevel="0" collapsed="false">
      <c r="A20" s="0" t="n">
        <v>35</v>
      </c>
      <c r="B20" s="0" t="n">
        <v>0.889</v>
      </c>
      <c r="C20" s="0" t="n">
        <v>0.152</v>
      </c>
      <c r="D20" s="14" t="n">
        <v>0.77145</v>
      </c>
      <c r="E20" s="0" t="n">
        <v>-0.726</v>
      </c>
    </row>
    <row r="23" customFormat="false" ht="15" hidden="false" customHeight="false" outlineLevel="0" collapsed="false">
      <c r="A23" s="3" t="s">
        <v>84</v>
      </c>
    </row>
    <row r="24" customFormat="false" ht="41.75" hidden="false" customHeight="false" outlineLevel="0" collapsed="false">
      <c r="A24" s="4" t="s">
        <v>85</v>
      </c>
      <c r="B24" s="4" t="s">
        <v>86</v>
      </c>
      <c r="C24" s="4" t="s">
        <v>87</v>
      </c>
    </row>
    <row r="25" customFormat="false" ht="15" hidden="false" customHeight="false" outlineLevel="0" collapsed="false">
      <c r="A25" s="15" t="n">
        <v>0.2</v>
      </c>
      <c r="B25" s="0" t="n">
        <v>28</v>
      </c>
      <c r="C25" s="14" t="n">
        <v>0.14825</v>
      </c>
    </row>
    <row r="26" customFormat="false" ht="15" hidden="false" customHeight="false" outlineLevel="0" collapsed="false">
      <c r="A26" s="15" t="n">
        <v>0.1</v>
      </c>
      <c r="B26" s="0" t="n">
        <v>27</v>
      </c>
      <c r="C26" s="14" t="n">
        <v>0.0906</v>
      </c>
    </row>
    <row r="27" customFormat="false" ht="15" hidden="false" customHeight="false" outlineLevel="0" collapsed="false">
      <c r="A27" s="15" t="n">
        <v>0.05</v>
      </c>
      <c r="B27" s="0" t="n">
        <v>25</v>
      </c>
      <c r="C27" s="14" t="n">
        <v>0.02915</v>
      </c>
    </row>
    <row r="28" customFormat="false" ht="15" hidden="false" customHeight="false" outlineLevel="0" collapsed="false">
      <c r="A28" s="15" t="n">
        <v>0.01</v>
      </c>
      <c r="B28" s="0" t="n">
        <v>23</v>
      </c>
      <c r="C28" s="14" t="n">
        <v>0.00635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0" t="s">
        <v>88</v>
      </c>
    </row>
    <row r="2" customFormat="false" ht="15" hidden="false" customHeight="true" outlineLevel="0" collapsed="false">
      <c r="A2" s="16"/>
      <c r="B2" s="16"/>
      <c r="C2" s="16"/>
      <c r="D2" s="16"/>
      <c r="E2" s="16"/>
      <c r="F2" s="16"/>
      <c r="G2" s="16"/>
      <c r="H2" s="16"/>
    </row>
    <row r="3" customFormat="false" ht="15" hidden="false" customHeight="true" outlineLevel="0" collapsed="false">
      <c r="A3" s="17" t="s">
        <v>89</v>
      </c>
      <c r="B3" s="17"/>
      <c r="C3" s="17"/>
      <c r="D3" s="17"/>
      <c r="E3" s="17"/>
      <c r="F3" s="17"/>
      <c r="G3" s="17"/>
      <c r="H3" s="17"/>
    </row>
    <row r="4" customFormat="false" ht="30" hidden="false" customHeight="true" outlineLevel="0" collapsed="false">
      <c r="A4" s="16" t="s">
        <v>90</v>
      </c>
      <c r="B4" s="16"/>
      <c r="C4" s="16"/>
      <c r="D4" s="16"/>
      <c r="E4" s="16"/>
      <c r="F4" s="16"/>
      <c r="G4" s="16"/>
      <c r="H4" s="16"/>
    </row>
    <row r="5" customFormat="false" ht="15" hidden="false" customHeight="true" outlineLevel="0" collapsed="false">
      <c r="A5" s="16"/>
      <c r="B5" s="16"/>
      <c r="C5" s="16"/>
      <c r="D5" s="16"/>
      <c r="E5" s="16"/>
      <c r="F5" s="16"/>
      <c r="G5" s="16"/>
      <c r="H5" s="16"/>
    </row>
    <row r="6" customFormat="false" ht="30" hidden="false" customHeight="true" outlineLevel="0" collapsed="false">
      <c r="A6" s="16" t="s">
        <v>91</v>
      </c>
      <c r="B6" s="16"/>
      <c r="C6" s="16"/>
      <c r="D6" s="16"/>
      <c r="E6" s="16"/>
      <c r="F6" s="16"/>
      <c r="G6" s="16"/>
      <c r="H6" s="16"/>
    </row>
    <row r="7" customFormat="false" ht="15" hidden="false" customHeight="true" outlineLevel="0" collapsed="false">
      <c r="A7" s="16"/>
      <c r="B7" s="16"/>
      <c r="C7" s="16"/>
      <c r="D7" s="16"/>
      <c r="E7" s="16"/>
      <c r="F7" s="16"/>
      <c r="G7" s="16"/>
      <c r="H7" s="16"/>
    </row>
    <row r="8" customFormat="false" ht="15" hidden="false" customHeight="true" outlineLevel="0" collapsed="false">
      <c r="A8" s="17" t="s">
        <v>92</v>
      </c>
      <c r="B8" s="17"/>
      <c r="C8" s="17"/>
      <c r="D8" s="17"/>
      <c r="E8" s="17"/>
      <c r="F8" s="17"/>
      <c r="G8" s="17"/>
      <c r="H8" s="17"/>
    </row>
    <row r="9" customFormat="false" ht="30" hidden="false" customHeight="true" outlineLevel="0" collapsed="false">
      <c r="A9" s="16" t="s">
        <v>93</v>
      </c>
      <c r="B9" s="16"/>
      <c r="C9" s="16"/>
      <c r="D9" s="16"/>
      <c r="E9" s="16"/>
      <c r="F9" s="16"/>
      <c r="G9" s="16"/>
      <c r="H9" s="16"/>
    </row>
    <row r="10" customFormat="false" ht="15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</row>
    <row r="11" customFormat="false" ht="15" hidden="false" customHeight="true" outlineLevel="0" collapsed="false">
      <c r="A11" s="17" t="s">
        <v>94</v>
      </c>
      <c r="B11" s="17"/>
      <c r="C11" s="17"/>
      <c r="D11" s="17"/>
      <c r="E11" s="17"/>
      <c r="F11" s="17"/>
      <c r="G11" s="17"/>
      <c r="H11" s="17"/>
    </row>
    <row r="12" customFormat="false" ht="30" hidden="false" customHeight="true" outlineLevel="0" collapsed="false">
      <c r="A12" s="16" t="s">
        <v>95</v>
      </c>
      <c r="B12" s="16"/>
      <c r="C12" s="16"/>
      <c r="D12" s="16"/>
      <c r="E12" s="16"/>
      <c r="F12" s="16"/>
      <c r="G12" s="16"/>
      <c r="H12" s="16"/>
    </row>
    <row r="13" customFormat="false" ht="15" hidden="false" customHeight="true" outlineLevel="0" collapsed="false">
      <c r="A13" s="16"/>
      <c r="B13" s="16"/>
      <c r="C13" s="16"/>
      <c r="D13" s="16"/>
      <c r="E13" s="16"/>
      <c r="F13" s="16"/>
      <c r="G13" s="16"/>
      <c r="H13" s="16"/>
    </row>
    <row r="14" customFormat="false" ht="15" hidden="false" customHeight="true" outlineLevel="0" collapsed="false">
      <c r="A14" s="17" t="s">
        <v>96</v>
      </c>
      <c r="B14" s="17"/>
      <c r="C14" s="17"/>
      <c r="D14" s="17"/>
      <c r="E14" s="17"/>
      <c r="F14" s="17"/>
      <c r="G14" s="17"/>
      <c r="H14" s="17"/>
    </row>
    <row r="15" customFormat="false" ht="30" hidden="false" customHeight="true" outlineLevel="0" collapsed="false">
      <c r="A15" s="16" t="s">
        <v>97</v>
      </c>
      <c r="B15" s="16"/>
      <c r="C15" s="16"/>
      <c r="D15" s="16"/>
      <c r="E15" s="16"/>
      <c r="F15" s="16"/>
      <c r="G15" s="16"/>
      <c r="H15" s="16"/>
    </row>
    <row r="16" customFormat="false" ht="15" hidden="false" customHeight="true" outlineLevel="0" collapsed="false">
      <c r="A16" s="16"/>
      <c r="B16" s="16"/>
      <c r="C16" s="16"/>
      <c r="D16" s="16"/>
      <c r="E16" s="16"/>
      <c r="F16" s="16"/>
      <c r="G16" s="16"/>
      <c r="H16" s="16"/>
    </row>
    <row r="17" customFormat="false" ht="15" hidden="false" customHeight="true" outlineLevel="0" collapsed="false">
      <c r="A17" s="17" t="s">
        <v>98</v>
      </c>
      <c r="B17" s="17"/>
      <c r="C17" s="17"/>
      <c r="D17" s="17"/>
      <c r="E17" s="17"/>
      <c r="F17" s="17"/>
      <c r="G17" s="17"/>
      <c r="H17" s="17"/>
    </row>
    <row r="18" customFormat="false" ht="30" hidden="false" customHeight="true" outlineLevel="0" collapsed="false">
      <c r="A18" s="16" t="s">
        <v>99</v>
      </c>
      <c r="B18" s="16"/>
      <c r="C18" s="16"/>
      <c r="D18" s="16"/>
      <c r="E18" s="16"/>
      <c r="F18" s="16"/>
      <c r="G18" s="16"/>
      <c r="H18" s="16"/>
    </row>
    <row r="19" customFormat="false" ht="15" hidden="false" customHeight="true" outlineLevel="0" collapsed="false">
      <c r="A19" s="16"/>
      <c r="B19" s="16"/>
      <c r="C19" s="16"/>
      <c r="D19" s="16"/>
      <c r="E19" s="16"/>
      <c r="F19" s="16"/>
      <c r="G19" s="16"/>
      <c r="H19" s="16"/>
    </row>
    <row r="20" customFormat="false" ht="15" hidden="false" customHeight="true" outlineLevel="0" collapsed="false">
      <c r="A20" s="17" t="s">
        <v>100</v>
      </c>
      <c r="B20" s="17"/>
      <c r="C20" s="17"/>
      <c r="D20" s="17"/>
      <c r="E20" s="17"/>
      <c r="F20" s="17"/>
      <c r="G20" s="17"/>
      <c r="H20" s="17"/>
    </row>
    <row r="21" customFormat="false" ht="30" hidden="false" customHeight="true" outlineLevel="0" collapsed="false">
      <c r="A21" s="16" t="s">
        <v>101</v>
      </c>
      <c r="B21" s="16"/>
      <c r="C21" s="16"/>
      <c r="D21" s="16"/>
      <c r="E21" s="16"/>
      <c r="F21" s="16"/>
      <c r="G21" s="16"/>
      <c r="H21" s="16"/>
    </row>
    <row r="22" customFormat="false" ht="30" hidden="false" customHeight="true" outlineLevel="0" collapsed="false">
      <c r="A22" s="16" t="s">
        <v>102</v>
      </c>
      <c r="B22" s="16"/>
      <c r="C22" s="16"/>
      <c r="D22" s="16"/>
      <c r="E22" s="16"/>
      <c r="F22" s="16"/>
      <c r="G22" s="16"/>
      <c r="H22" s="16"/>
    </row>
    <row r="23" customFormat="false" ht="30" hidden="false" customHeight="true" outlineLevel="0" collapsed="false">
      <c r="A23" s="16" t="s">
        <v>103</v>
      </c>
      <c r="B23" s="16"/>
      <c r="C23" s="16"/>
      <c r="D23" s="16"/>
      <c r="E23" s="16"/>
      <c r="F23" s="16"/>
      <c r="G23" s="16"/>
      <c r="H23" s="16"/>
    </row>
    <row r="24" customFormat="false" ht="30" hidden="false" customHeight="true" outlineLevel="0" collapsed="false">
      <c r="A24" s="16" t="s">
        <v>104</v>
      </c>
      <c r="B24" s="16"/>
      <c r="C24" s="16"/>
      <c r="D24" s="16"/>
      <c r="E24" s="16"/>
      <c r="F24" s="16"/>
      <c r="G24" s="16"/>
      <c r="H24" s="16"/>
    </row>
    <row r="25" customFormat="false" ht="15" hidden="false" customHeight="true" outlineLevel="0" collapsed="false">
      <c r="A25" s="16"/>
      <c r="B25" s="16"/>
      <c r="C25" s="16"/>
      <c r="D25" s="16"/>
      <c r="E25" s="16"/>
      <c r="F25" s="16"/>
      <c r="G25" s="16"/>
      <c r="H25" s="16"/>
    </row>
    <row r="26" customFormat="false" ht="15" hidden="false" customHeight="true" outlineLevel="0" collapsed="false">
      <c r="A26" s="17" t="s">
        <v>105</v>
      </c>
      <c r="B26" s="17"/>
      <c r="C26" s="17"/>
      <c r="D26" s="17"/>
      <c r="E26" s="17"/>
      <c r="F26" s="17"/>
      <c r="G26" s="17"/>
      <c r="H26" s="17"/>
    </row>
    <row r="27" customFormat="false" ht="30" hidden="false" customHeight="true" outlineLevel="0" collapsed="false">
      <c r="A27" s="16" t="s">
        <v>106</v>
      </c>
      <c r="B27" s="16"/>
      <c r="C27" s="16"/>
      <c r="D27" s="16"/>
      <c r="E27" s="16"/>
      <c r="F27" s="16"/>
      <c r="G27" s="16"/>
      <c r="H27" s="16"/>
    </row>
  </sheetData>
  <mergeCells count="26"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2026-08-23T20:07:57Z</dcterms:created>
  <dc:creator>openpyxl</dc:creator>
  <dc:description/>
  <dc:language>en-US</dc:language>
  <cp:lastModifiedBy/>
  <dcterms:modified xsi:type="dcterms:W3CDTF">2026-08-23T20:07:57Z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